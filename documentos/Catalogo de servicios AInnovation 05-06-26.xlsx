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gis\Documents\SITIO WEB\"/>
    </mc:Choice>
  </mc:AlternateContent>
  <xr:revisionPtr revIDLastSave="0" documentId="13_ncr:1_{6A0D3E7C-A590-4B42-8F31-974886220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rva-Regla oper propuesta" sheetId="4" r:id="rId1"/>
    <sheet name="consideraciones en agenda " sheetId="7" r:id="rId2"/>
    <sheet name="catalogo de productos" sheetId="1" r:id="rId3"/>
    <sheet name="Promociones" sheetId="5" r:id="rId4"/>
    <sheet name="Zonas" sheetId="6" r:id="rId5"/>
  </sheets>
  <definedNames>
    <definedName name="_xlnm._FilterDatabase" localSheetId="2" hidden="1">'catalogo de productos'!$A$1:$P$160</definedName>
  </definedNames>
  <calcPr calcId="191029"/>
</workbook>
</file>

<file path=xl/calcChain.xml><?xml version="1.0" encoding="utf-8"?>
<calcChain xmlns="http://schemas.openxmlformats.org/spreadsheetml/2006/main">
  <c r="D39" i="5" l="1"/>
  <c r="D38" i="5"/>
  <c r="D37" i="5"/>
  <c r="D25" i="5"/>
  <c r="D24" i="5"/>
  <c r="D26" i="5" s="1"/>
  <c r="D23" i="5"/>
  <c r="D49" i="5"/>
  <c r="D48" i="5"/>
  <c r="E48" i="5"/>
  <c r="F48" i="5" s="1"/>
  <c r="G48" i="5" s="1"/>
  <c r="D6" i="5"/>
  <c r="E35" i="5"/>
  <c r="D40" i="5" s="1"/>
  <c r="D35" i="5"/>
  <c r="E21" i="5"/>
  <c r="D21" i="5"/>
  <c r="C6" i="5"/>
  <c r="C10" i="5" s="1"/>
  <c r="D8" i="5"/>
  <c r="D7" i="5"/>
  <c r="F21" i="5" l="1"/>
  <c r="G21" i="5" s="1"/>
  <c r="F35" i="5"/>
  <c r="G35" i="5" s="1"/>
  <c r="D10" i="5"/>
  <c r="E10" i="5" l="1"/>
  <c r="F10" i="5" s="1"/>
  <c r="C11" i="5"/>
</calcChain>
</file>

<file path=xl/sharedStrings.xml><?xml version="1.0" encoding="utf-8"?>
<sst xmlns="http://schemas.openxmlformats.org/spreadsheetml/2006/main" count="1838" uniqueCount="405">
  <si>
    <t>Ubicación</t>
  </si>
  <si>
    <t>Categoría</t>
  </si>
  <si>
    <t>Subcategoría</t>
  </si>
  <si>
    <t>Servicio</t>
  </si>
  <si>
    <t>Modalidad</t>
  </si>
  <si>
    <t>Duración</t>
  </si>
  <si>
    <t>Precio</t>
  </si>
  <si>
    <t>Notas</t>
  </si>
  <si>
    <t>Unnamed: 8</t>
  </si>
  <si>
    <t>Unnamed: 9</t>
  </si>
  <si>
    <t>Anticipación recomendada para reserva</t>
  </si>
  <si>
    <t>Disponible a domicilio</t>
  </si>
  <si>
    <t>Consideraciones operativas</t>
  </si>
  <si>
    <t>Masajes</t>
  </si>
  <si>
    <t>Terapias de masajes</t>
  </si>
  <si>
    <t>Masaje Exentia</t>
  </si>
  <si>
    <t>Individual</t>
  </si>
  <si>
    <t>60 min</t>
  </si>
  <si>
    <t>Sí</t>
  </si>
  <si>
    <t>No bloquear complementos agregados en sitio; validar disponibilidad del terapeuta.</t>
  </si>
  <si>
    <t>90 min</t>
  </si>
  <si>
    <t>Pareja</t>
  </si>
  <si>
    <t>Masaje Exentia Plus Personalizado</t>
  </si>
  <si>
    <t>Masaje Tejido Profundo</t>
  </si>
  <si>
    <t>Masaje Terapéutico</t>
  </si>
  <si>
    <t>Masaje Terapéutico Ice Calm</t>
  </si>
  <si>
    <t>Turbante Ice Calm</t>
  </si>
  <si>
    <t>Masaje de Espalda</t>
  </si>
  <si>
    <t>30 min</t>
  </si>
  <si>
    <t>Masaje Terapéutico con Ventosas</t>
  </si>
  <si>
    <t>Masaje Terapéutico de Piedras Calientes</t>
  </si>
  <si>
    <t>Masaje Terapéutico Integral</t>
  </si>
  <si>
    <t>Masaje Terapéutico Plus</t>
  </si>
  <si>
    <t>Drenaje Linfático</t>
  </si>
  <si>
    <t>Reflexología Podal</t>
  </si>
  <si>
    <t>Reflexología Craneal</t>
  </si>
  <si>
    <t>Reflexología Plus</t>
  </si>
  <si>
    <t>Masaje Reductivo Manual</t>
  </si>
  <si>
    <t>Envoltura Corporal Desintoxicante</t>
  </si>
  <si>
    <t>75 min</t>
  </si>
  <si>
    <t>Masaje Prenatal</t>
  </si>
  <si>
    <t>Spa Kids</t>
  </si>
  <si>
    <t>Experiencia infantil</t>
  </si>
  <si>
    <t>No</t>
  </si>
  <si>
    <t>Agenda por disponibilidad real del colaborador.</t>
  </si>
  <si>
    <t>Spa Teens</t>
  </si>
  <si>
    <t>Faciales</t>
  </si>
  <si>
    <t>Facial Orgánico</t>
  </si>
  <si>
    <t>Shiatsu en Silla Japonesa</t>
  </si>
  <si>
    <t>Uñas</t>
  </si>
  <si>
    <t>Manicure</t>
  </si>
  <si>
    <t>Manicura Exentia con Esmalte</t>
  </si>
  <si>
    <t>Mismo día según disponibilidad.</t>
  </si>
  <si>
    <t>Permitir reserva simultánea de manicura y pedicura si existen 2 técnicas disponibles.</t>
  </si>
  <si>
    <t>Manicura Exentia con Gel</t>
  </si>
  <si>
    <t>80 min</t>
  </si>
  <si>
    <t>Manicura Exentia Rusa con Esmalte</t>
  </si>
  <si>
    <t>Manicura Exentia Rusa con Gel</t>
  </si>
  <si>
    <t>Manicura Exentia Caballero</t>
  </si>
  <si>
    <t>Pedicure</t>
  </si>
  <si>
    <t>Pedicura Exentia con Esmalte</t>
  </si>
  <si>
    <t>70 min</t>
  </si>
  <si>
    <t>Hidromasaje Spa</t>
  </si>
  <si>
    <t>Pedicura Exentia con Gel</t>
  </si>
  <si>
    <t>Pedicura Exentia Caballero</t>
  </si>
  <si>
    <t>50 min</t>
  </si>
  <si>
    <t>Corte</t>
  </si>
  <si>
    <t>Corte de Uñas</t>
  </si>
  <si>
    <t>Manos</t>
  </si>
  <si>
    <t>25 min</t>
  </si>
  <si>
    <t>Pies</t>
  </si>
  <si>
    <t>Color</t>
  </si>
  <si>
    <t>Esmaltado Regular</t>
  </si>
  <si>
    <t>Esmaltado Regular Infantil</t>
  </si>
  <si>
    <t>Esmaltado Francés</t>
  </si>
  <si>
    <t>Gel Semipermanente</t>
  </si>
  <si>
    <t>Acrílico / Polygel</t>
  </si>
  <si>
    <t>Uñas Acrílicas Tip No. 3</t>
  </si>
  <si>
    <t>Cover Natural</t>
  </si>
  <si>
    <t>Uñas Acrílicas Tip No. 3 con Gel</t>
  </si>
  <si>
    <t>Incluye marca premium</t>
  </si>
  <si>
    <t>120 min</t>
  </si>
  <si>
    <t>Extra Largo</t>
  </si>
  <si>
    <t>Retoque de Acrílico solo Cover</t>
  </si>
  <si>
    <t>Retoque de Acrílico con Gel</t>
  </si>
  <si>
    <t>Acripié</t>
  </si>
  <si>
    <t>Acripié por Uña</t>
  </si>
  <si>
    <t>Parche de Acrílico</t>
  </si>
  <si>
    <t>Reposición de Uña + Gel</t>
  </si>
  <si>
    <t>20 min</t>
  </si>
  <si>
    <t>Cambio de Forma o Largo</t>
  </si>
  <si>
    <t>Esculturales</t>
  </si>
  <si>
    <t>Uñas Esculturales Tip No. 3</t>
  </si>
  <si>
    <t>Con Gel</t>
  </si>
  <si>
    <t>150 min</t>
  </si>
  <si>
    <t>Natural</t>
  </si>
  <si>
    <t>100 min</t>
  </si>
  <si>
    <t>Tratamientos</t>
  </si>
  <si>
    <t>Calcio</t>
  </si>
  <si>
    <t>Parafina</t>
  </si>
  <si>
    <t>Mascarillas de Temporada</t>
  </si>
  <si>
    <t>Retiro</t>
  </si>
  <si>
    <t>Retiro de Gel Semi</t>
  </si>
  <si>
    <t>Retiro de Gel con Diseño 3D</t>
  </si>
  <si>
    <t>40 min</t>
  </si>
  <si>
    <t>Retiro Rubber/Gel</t>
  </si>
  <si>
    <t>Retiro Rubber/Gel Solo</t>
  </si>
  <si>
    <t>Retiro Gel de Construcción</t>
  </si>
  <si>
    <t>Retiro Acrílico/Poly Interno</t>
  </si>
  <si>
    <t>Rubber</t>
  </si>
  <si>
    <t>Base Rubber</t>
  </si>
  <si>
    <t>Nivelación de Rubber Color</t>
  </si>
  <si>
    <t>Retoque de Rubber</t>
  </si>
  <si>
    <t>Retoque de Rubber/Híbrido</t>
  </si>
  <si>
    <t>Nivelación de Rubber</t>
  </si>
  <si>
    <t>Arte en Uñas</t>
  </si>
  <si>
    <t>Nivel 1</t>
  </si>
  <si>
    <t>Mano alzada</t>
  </si>
  <si>
    <t>Instalación de piedras y stickers, francés o abstracto</t>
  </si>
  <si>
    <t>Nivel 2</t>
  </si>
  <si>
    <t>Diseños a mano alzada, líneas, curvas, efectos aurora y baby boomer, marmoleado</t>
  </si>
  <si>
    <t>Nivel 3</t>
  </si>
  <si>
    <t>Diseños en carey, a mano alzada y blooming</t>
  </si>
  <si>
    <t>Nivel 4</t>
  </si>
  <si>
    <t>Diseños con relieve en gel de construcción, efectos metálicos</t>
  </si>
  <si>
    <t>Nivel 5</t>
  </si>
  <si>
    <t>Gel sólido, diseños mixtos, 3D y encapsulados</t>
  </si>
  <si>
    <t>Efectos</t>
  </si>
  <si>
    <t>Matte</t>
  </si>
  <si>
    <t>Cat Eye</t>
  </si>
  <si>
    <t>Glaseado</t>
  </si>
  <si>
    <t>Aurora</t>
  </si>
  <si>
    <t>Espejo / Chrome</t>
  </si>
  <si>
    <t>Baby Boomer en Acrílico</t>
  </si>
  <si>
    <t>Cejas</t>
  </si>
  <si>
    <t>Servicios de cejas</t>
  </si>
  <si>
    <t>Laminado de ceja</t>
  </si>
  <si>
    <t>Laminado, diseño y depilación</t>
  </si>
  <si>
    <t>Precio por confirmar</t>
  </si>
  <si>
    <t>En la imagen solo se aprecia un precio de $450 para la sección</t>
  </si>
  <si>
    <t>Combo Cejas</t>
  </si>
  <si>
    <t>Laminado de cejas + henna + depilación</t>
  </si>
  <si>
    <t>Cabello</t>
  </si>
  <si>
    <t>Servicios de salón</t>
  </si>
  <si>
    <t>Corte Cabello Corto Dama</t>
  </si>
  <si>
    <t>Incluye mascarilla, fluido hidratante y estilizado</t>
  </si>
  <si>
    <t>Corte Cabello Dama</t>
  </si>
  <si>
    <t>Corte Cabello Dama c/Ampolleta</t>
  </si>
  <si>
    <t>Corte Cabello Hombre</t>
  </si>
  <si>
    <t>45 min</t>
  </si>
  <si>
    <t>Shampoo y Secado Cabello</t>
  </si>
  <si>
    <t>A partir de</t>
  </si>
  <si>
    <t>Planchado Express</t>
  </si>
  <si>
    <t>Peinado Cabello Corto</t>
  </si>
  <si>
    <t>Peinado Cabello Mediano</t>
  </si>
  <si>
    <t>Hombros</t>
  </si>
  <si>
    <t>Peinado Novia</t>
  </si>
  <si>
    <t>115 min</t>
  </si>
  <si>
    <t>Maquillaje</t>
  </si>
  <si>
    <t>Maquillaje Profesional</t>
  </si>
  <si>
    <t>Peinado y Maquillaje Social</t>
  </si>
  <si>
    <t>Maquillaje Ojos</t>
  </si>
  <si>
    <t>Peinado y Maquillaje de Noche</t>
  </si>
  <si>
    <t>Tratamientos Capilares</t>
  </si>
  <si>
    <t>Nanoplastia</t>
  </si>
  <si>
    <t>Reestructuración profunda, anti-frizz</t>
  </si>
  <si>
    <t>Keratina</t>
  </si>
  <si>
    <t>Brillo, nutrición, suavidad</t>
  </si>
  <si>
    <t>Botox Capilar</t>
  </si>
  <si>
    <t>Hidratación + rejuvenecimiento</t>
  </si>
  <si>
    <t>Extensiones de Cabello Método Brasileño</t>
  </si>
  <si>
    <t xml:space="preserve">180 min </t>
  </si>
  <si>
    <t>Diseños de Color</t>
  </si>
  <si>
    <t>Diseño de Color Personalizado</t>
  </si>
  <si>
    <t>360 min</t>
  </si>
  <si>
    <t>Depende del rubio deseado y volumen; incluye mascarilla hidratante, matiz, despunte y estilizado</t>
  </si>
  <si>
    <t>Retoque de Raíz Tinte</t>
  </si>
  <si>
    <t>Baño de Color</t>
  </si>
  <si>
    <t>Tinte Global</t>
  </si>
  <si>
    <t>135 min</t>
  </si>
  <si>
    <t>Incluye mascarilla hidratante y estilizado</t>
  </si>
  <si>
    <t>Minutos caballero</t>
  </si>
  <si>
    <t>Precio caballero</t>
  </si>
  <si>
    <t>Depilación</t>
  </si>
  <si>
    <t>Depilación con cera</t>
  </si>
  <si>
    <t>Facial completo</t>
  </si>
  <si>
    <t>En los servicios de depilacion los minutos cambian dependiendo del genero dama o caballero al igual que el precio del servicio*** y tambien se pueden agregar a los servicios de masaje at home</t>
  </si>
  <si>
    <t>35 min</t>
  </si>
  <si>
    <t>Frente</t>
  </si>
  <si>
    <t>5 min</t>
  </si>
  <si>
    <t>10 min</t>
  </si>
  <si>
    <t>Sien</t>
  </si>
  <si>
    <t>Perfilado de cejas</t>
  </si>
  <si>
    <t>Bozo</t>
  </si>
  <si>
    <t>Nariz</t>
  </si>
  <si>
    <t>5  min</t>
  </si>
  <si>
    <t>Pómulos</t>
  </si>
  <si>
    <t>Patillas</t>
  </si>
  <si>
    <t>Barba</t>
  </si>
  <si>
    <t>Nuca</t>
  </si>
  <si>
    <t>15 min</t>
  </si>
  <si>
    <t>Axilas</t>
  </si>
  <si>
    <t>Brasileño</t>
  </si>
  <si>
    <t>Resaque Bikini</t>
  </si>
  <si>
    <t xml:space="preserve">25 min </t>
  </si>
  <si>
    <t>Resaque Bikini Profundo</t>
  </si>
  <si>
    <t>25  min</t>
  </si>
  <si>
    <t>Línea Interglútea</t>
  </si>
  <si>
    <t>Glúteos</t>
  </si>
  <si>
    <t>Piernas</t>
  </si>
  <si>
    <t>1/2 Piernas</t>
  </si>
  <si>
    <t>Brazos</t>
  </si>
  <si>
    <t>1/2 Brazos</t>
  </si>
  <si>
    <t>Espalda</t>
  </si>
  <si>
    <t>Espalda Baja</t>
  </si>
  <si>
    <t>Pecho</t>
  </si>
  <si>
    <t>Abdomen</t>
  </si>
  <si>
    <t>Línea Abdomen</t>
  </si>
  <si>
    <t>Cuerpo Completo</t>
  </si>
  <si>
    <t>Complementos</t>
  </si>
  <si>
    <t>Reflexología</t>
  </si>
  <si>
    <t>Craneofacial</t>
  </si>
  <si>
    <t>Facial Express for Her</t>
  </si>
  <si>
    <t>Facial Express for Him</t>
  </si>
  <si>
    <t>Aplicación de mascarilla facial</t>
  </si>
  <si>
    <t>Head Massage</t>
  </si>
  <si>
    <t>Masaje Tiempo Extra</t>
  </si>
  <si>
    <t xml:space="preserve">15 min </t>
  </si>
  <si>
    <t>Zona 1</t>
  </si>
  <si>
    <t>Zona 2</t>
  </si>
  <si>
    <t>Zona 3</t>
  </si>
  <si>
    <t>10 personas</t>
  </si>
  <si>
    <t>Paso 1. ¿Dónde deseas recibir tu servicio?</t>
  </si>
  <si>
    <t>🏢 En Exentia Spa</t>
  </si>
  <si>
    <t>🏠 A Domicilio (Exentia At Home)</t>
  </si>
  <si>
    <t>Paso 2. ¿Para cuántas personas?</t>
  </si>
  <si>
    <t>○ 1 persona</t>
  </si>
  <si>
    <t>○ 2 personas</t>
  </si>
  <si>
    <t>○ 3 o más personas</t>
  </si>
  <si>
    <t>Paso 3. Si son 2 o más personas</t>
  </si>
  <si>
    <t>¿Desean recibir los servicios al mismo tiempo?</t>
  </si>
  <si>
    <t>○ Sí</t>
  </si>
  <si>
    <t>○ No</t>
  </si>
  <si>
    <t>○ Lo que tenga mejor disponibilidad</t>
  </si>
  <si>
    <t>Ventajas</t>
  </si>
  <si>
    <t>El cliente entiende inmediatamente:</t>
  </si>
  <si>
    <t>Ejemplo 1</t>
  </si>
  <si>
    <t>A domicilio</t>
  </si>
  <si>
    <t>2 personas</t>
  </si>
  <si>
    <t>Al mismo tiempo</t>
  </si>
  <si>
    <t>➡️ Masaje en pareja a domicilio</t>
  </si>
  <si>
    <t>Ejemplo 2</t>
  </si>
  <si>
    <t>En Exentia Spa</t>
  </si>
  <si>
    <t>8 personas</t>
  </si>
  <si>
    <t>Lo que tenga mejor disponibilidad</t>
  </si>
  <si>
    <t>➡️ Spa Party</t>
  </si>
  <si>
    <t>Ejemplo 3</t>
  </si>
  <si>
    <t>Por turnos</t>
  </si>
  <si>
    <t>➡️ Evento grupal</t>
  </si>
  <si>
    <t>Es mejor preguntar:</t>
  </si>
  <si>
    <t>¿Cuántas personas recibirán servicio?</t>
  </si>
  <si>
    <t>Y que el sistema determine automáticamente:</t>
  </si>
  <si>
    <t>1 = Individual</t>
  </si>
  <si>
    <t>2 = Pareja</t>
  </si>
  <si>
    <t>3 o más = Grupo</t>
  </si>
  <si>
    <t>Es una experiencia mucho más intuitiva y genera menos abandonos durante la reserva. Además, cuando alguien reserva para 3, 4 o 5 personas; simplemente quiere varios servicios para familiares o amigos.</t>
  </si>
  <si>
    <t>🏢 En Exentia Spa/🏠 A Domicilio (Exentia At Home)</t>
  </si>
  <si>
    <t>Status</t>
  </si>
  <si>
    <t>Inactivo</t>
  </si>
  <si>
    <t>Exentia Spa mínimo 2 horas antes (solo servicio de masajes, facial y depilacion) todos los servicios activos dependiendo de la disponibildad</t>
  </si>
  <si>
    <t>Exentia Spa/At Home: mínimo 2 horas antes (solo servicio principal). Complementos pueden agregarse en sitio, facial, depilacion, si es en exentia spa puede agregar cualquier servicio activo disponible</t>
  </si>
  <si>
    <t>Permitir reserva simultánea de manicura y pedicura si existen mas técnicas en uñas disponibles.</t>
  </si>
  <si>
    <t>Exentia Spa/si es At Home: Complementos pueden agregarse en sitio una vez que seleccione masaje o facial (si son principales)  la depilacion se puede considerar tambien como complemento, si es en exentia spa puede agregar cualquier servicio activo disponible</t>
  </si>
  <si>
    <t>si es at home No bloquear complementos agregados en sitio; validar disponibilidad del terapeuta.</t>
  </si>
  <si>
    <t>DIVA SPA</t>
  </si>
  <si>
    <t>Manicura con Gel</t>
  </si>
  <si>
    <t>Pedicura con Gel</t>
  </si>
  <si>
    <t>Ahorro</t>
  </si>
  <si>
    <t xml:space="preserve">Masaje Relajante + facial </t>
  </si>
  <si>
    <t>Precio Regular</t>
  </si>
  <si>
    <t>Total</t>
  </si>
  <si>
    <t>% descuento</t>
  </si>
  <si>
    <t>Precio promo</t>
  </si>
  <si>
    <t>Promocion</t>
  </si>
  <si>
    <t>nota: esta promocion reemplaza a la promocion 2 mas 1</t>
  </si>
  <si>
    <t>RITUAL EXENTIA</t>
  </si>
  <si>
    <t>Duracion de tu servicio</t>
  </si>
  <si>
    <t>Precio de lista</t>
  </si>
  <si>
    <t>PROMOCION EN EXENTIA</t>
  </si>
  <si>
    <t>% desc</t>
  </si>
  <si>
    <t>Facial + Masaje</t>
  </si>
  <si>
    <t>Escoge tu masaje favorito y facial: la combinacion perfecta para desconectarte y renovar tu energía</t>
  </si>
  <si>
    <t>FACIAL ORGANICO</t>
  </si>
  <si>
    <t>Total s/transporte</t>
  </si>
  <si>
    <t>MASAJE EXENTIA 90 MIN</t>
  </si>
  <si>
    <t>Transporte desde:</t>
  </si>
  <si>
    <t>Total c/transporte zona 2</t>
  </si>
  <si>
    <t>MASAJE EXENTIA + Facial 60 min</t>
  </si>
  <si>
    <t>Total c/transporte zona 1</t>
  </si>
  <si>
    <t>RITUAL CABALLERO</t>
  </si>
  <si>
    <t>Masaje + Corte + Servicio de barberia</t>
  </si>
  <si>
    <t>125 min</t>
  </si>
  <si>
    <t xml:space="preserve">Total </t>
  </si>
  <si>
    <t>ZONA 1 (COLOR VERDE)</t>
  </si>
  <si>
    <t>ZONA 2 (COLOR AMARILLA)</t>
  </si>
  <si>
    <t>ZONA 3 (COLOR ROJO)</t>
  </si>
  <si>
    <t>COSTO DE TRASLADO POR CADA TERAPEUTA QUE DARÁ SERVICIO A DOMICILIO</t>
  </si>
  <si>
    <t>Centro, downtown, Puerto Cancun</t>
  </si>
  <si>
    <t>Zona Hotelera de 0 KM hasta 12.5 km, Av. Huayacan</t>
  </si>
  <si>
    <t>Zona Hotelera de 12.5 KM hasta 22 km, area del aeropuerto</t>
  </si>
  <si>
    <t>REGLA OPERATIVA – PAREJAS Y GRUPOS EXENTIA AT HOME</t>
  </si>
  <si>
    <t>Para servicios Exentia At Home, el sistema deberá calcular la reserva considerando:</t>
  </si>
  <si>
    <t>1. Número de personas que recibirán servicio.</t>
  </si>
  <si>
    <t>2. Número de terapeutas disponibles.</t>
  </si>
  <si>
    <t>3. Zona del domicilio.</t>
  </si>
  <si>
    <t>4. Costo de traslado por terapeuta.</t>
  </si>
  <si>
    <t>5. Modalidad de atención:</t>
  </si>
  <si>
    <t>Simultánea.</t>
  </si>
  <si>
    <t>Consecutiva / por turnos.</t>
  </si>
  <si>
    <t>Pregunta obligatoria para el cliente:</t>
  </si>
  <si>
    <t>¿Desean recibir el servicio al mismo tiempo?</t>
  </si>
  <si>
    <t>Opciones:</t>
  </si>
  <si>
    <t>Sí, al mismo tiempo.</t>
  </si>
  <si>
    <t>No, podemos recibirlo por turnos.</t>
  </si>
  <si>
    <t>Mostrar opción más económica disponible.</t>
  </si>
  <si>
    <t>Lógica del sistema:</t>
  </si>
  <si>
    <t>Si el cliente elige “Sí, al mismo tiempo”:</t>
  </si>
  <si>
    <t>El sistema deberá validar que existan suficientes terapeutas disponibles para atender simultáneamente.</t>
  </si>
  <si>
    <t>El costo de traslado se cobrará por cada terapeuta asignado.</t>
  </si>
  <si>
    <t>Ejemplo: 10 personas con 5 terapeutas en Zona 2.</t>
  </si>
  <si>
    <t>Traslado: 5 terapeutas x $350 = $1,750.</t>
  </si>
  <si>
    <t>Si el cliente elige “No, podemos recibirlo por turnos”:</t>
  </si>
  <si>
    <t>El sistema podrá asignar menos terapeutas y organizar la atención en bloques consecutivos.</t>
  </si>
  <si>
    <t>El costo de traslado se cobrará únicamente por los terapeutas que realmente asistan al domicilio.</t>
  </si>
  <si>
    <t>Ejemplo: 10 personas con 2 terapeutas en Zona 2.</t>
  </si>
  <si>
    <t>Traslado: 2 terapeutas x $350 = $700.</t>
  </si>
  <si>
    <t>El sistema deberá mostrar que el tiempo total de atención será mayor.</t>
  </si>
  <si>
    <t>Si el cliente elige “Mostrar opción más económica disponible”:</t>
  </si>
  <si>
    <t>El sistema deberá sugerir la combinación que utilice menor número de terapeutas posible, sin afectar la operación.</t>
  </si>
  <si>
    <t>Deberá mostrar el ahorro estimado en traslado frente a la opción simultánea.</t>
  </si>
  <si>
    <t>Tabla de traslado por terapeuta:</t>
  </si>
  <si>
    <t>Zona 1 / Verde: $250 por terapeuta.</t>
  </si>
  <si>
    <t>Zona 2 / Amarilla: $350 por terapeuta.</t>
  </si>
  <si>
    <t>Zona 3 / Roja: $400 por terapeuta.</t>
  </si>
  <si>
    <t>Fórmula:</t>
  </si>
  <si>
    <t>Cargo de traslado = número de terapeutas asignados x tarifa de zona.</t>
  </si>
  <si>
    <t>Regla importante:</t>
  </si>
  <si>
    <t>El sistema no debe exigir que el número de terapeutas sea igual al número de clientes. La disponibilidad deberá calcularse por capacidad operativa real.</t>
  </si>
  <si>
    <t>Ejemplos:</t>
  </si>
  <si>
    <t>Masaje en pareja:</t>
  </si>
  <si>
    <t>2 personas.</t>
  </si>
  <si>
    <t>Si hay 2 terapeutas disponibles: servicio simultáneo.</t>
  </si>
  <si>
    <t>Si hay 1 terapeuta disponible: servicio consecutivo.</t>
  </si>
  <si>
    <t>El cliente puede elegir según disponibilidad, tiempo y costo de traslado.</t>
  </si>
  <si>
    <t>Grupo de 4 personas:</t>
  </si>
  <si>
    <t>Con 4 terapeutas: todos al mismo tiempo.</t>
  </si>
  <si>
    <t>Con 2 terapeutas: atención en 2 bloques.</t>
  </si>
  <si>
    <t>Con 1 terapeuta: atención consecutiva, si el cliente acepta mayor duración.</t>
  </si>
  <si>
    <t>Grupo de 10 personas:</t>
  </si>
  <si>
    <t>Con 5 terapeutas: atención más rápida, mayor costo de traslado.</t>
  </si>
  <si>
    <t>Con 2 terapeutas: atención escalonada, menor costo de traslado.</t>
  </si>
  <si>
    <t>El sistema debe permitir ambas opciones si operativamente son viables.</t>
  </si>
  <si>
    <t>Mensaje sugerido para el cliente:</t>
  </si>
  <si>
    <t>“Podemos atenderlos al mismo tiempo o por turnos. La atención por turnos puede tomar más tiempo, pero puede reducir el costo de traslado, ya que se asignan menos terapeutas al domicilio.”</t>
  </si>
  <si>
    <t>REGLAS OPERATIVAS PARA CONFIGURACIÓN DE RESERVAS – EXENTIA SPA &amp; EXENTIA AT HOME</t>
  </si>
  <si>
    <t>• Todos los servicios podrán reservarse para el mismo día, sujetos a disponibilidad.</t>
  </si>
  <si>
    <t>• El sistema deberá mostrar los horarios disponibles con base en la agenda real de cada colaborador.</t>
  </si>
  <si>
    <t>• Los colaboradores fijos podrán recibir reservas en cualquier horario disponible de su agenda.</t>
  </si>
  <si>
    <t>• El sistema no deberá limitar reservas por horarios predefinidos de salida si el colaborador tiene disponibilidad para extender su jornada.</t>
  </si>
  <si>
    <t>• Los complementos podrán agregarse a una reserva existente siempre que exista tiempo disponible en la agenda del colaborador.</t>
  </si>
  <si>
    <t>2. RESERVAS EXENTIA AT HOME</t>
  </si>
  <si>
    <t>• El servicio principal requiere un mínimo de 2 horas de anticipación para reservar.</t>
  </si>
  <si>
    <t>• El tiempo mínimo de anticipación aplica únicamente al servicio principal de la reserva.</t>
  </si>
  <si>
    <t>• El sistema deberá considerar tiempos de traslado de acuerdo con la zona asignada.</t>
  </si>
  <si>
    <t>3. SERVICIOS SIMULTÁNEOS DE UÑAS</t>
  </si>
  <si>
    <t>• El tiempo total de la cita deberá calcularse considerando que ambos servicios pueden realizarse en paralelo.</t>
  </si>
  <si>
    <t>• El sistema deberá validar disponibilidad de personal y no únicamente duración de los servicios.</t>
  </si>
  <si>
    <t>4. MASAJES EN PAREJA</t>
  </si>
  <si>
    <t>• El sistema deberá permitir dos modalidades:</t>
  </si>
  <si>
    <t>a) Servicio simultáneo.</t>
  </si>
  <si>
    <t>b) Servicio consecutivo.</t>
  </si>
  <si>
    <t>• Si existen dos terapeutas disponibles, el cliente podrá elegir atención simultánea.</t>
  </si>
  <si>
    <t>• Si únicamente existe un terapeuta disponible, el sistema deberá permitir reservar el servicio de forma consecutiva sin bloquear la venta.</t>
  </si>
  <si>
    <t>• El cliente podrá seleccionar si desea recibir el servicio al mismo tiempo o por turnos.</t>
  </si>
  <si>
    <t>5. RESERVAS PARA GRUPOS</t>
  </si>
  <si>
    <t>• El sistema deberá permitir reservas grupales aunque no exista disponibilidad simultánea para todos los participantes.</t>
  </si>
  <si>
    <t>• La disponibilidad deberá calcularse con base en la capacidad operativa real del equipo.</t>
  </si>
  <si>
    <t>4 personas con 2 terapeutas disponibles.</t>
  </si>
  <si>
    <t>Atención en dos bloques consecutivos.</t>
  </si>
  <si>
    <t>10 personas con 2 terapeutas disponibles.</t>
  </si>
  <si>
    <t>Atención escalonada en el mismo domicilio.</t>
  </si>
  <si>
    <t>• El sistema no deberá exigir la misma cantidad de terapeutas que participantes.</t>
  </si>
  <si>
    <t>• El cliente podrá elegir entre atención simultánea o escalonada.</t>
  </si>
  <si>
    <t>6. COMPLEMENTOS</t>
  </si>
  <si>
    <t>• Los complementos deberán poder agregarse a una reserva existente.</t>
  </si>
  <si>
    <t>• Los complementos no deberán generar una nueva restricción de anticipación.</t>
  </si>
  <si>
    <t>7. DISPONIBILIDAD A DOMICILIO</t>
  </si>
  <si>
    <t>• El sitio web deberá identificar claramente los servicios disponibles para Exentia At Home y los exclusivos del Spa.</t>
  </si>
  <si>
    <t>• Los servicios que requieran equipamiento fijo, instalaciones especiales o procesos técnicos complejos deberán mostrarse únicamente para atención en sucursal.</t>
  </si>
  <si>
    <t>• Cuando un servicio no esté disponible a domicilio, el sistema deberá mostrar únicamente disponibilidad en Exentia Spa.</t>
  </si>
  <si>
    <t>8. OBJETIVO GENERAL DE LA CONFIGURACIÓN</t>
  </si>
  <si>
    <t>La prioridad del sistema debe ser maximizar las reservas utilizando la capacidad operativa real del equipo, evitando bloqueos automáticos innecesarios que impidan concretar ventas cuando existan alternativas viables de atención.</t>
  </si>
  <si>
    <t>1. RESERVAS EN EXENTIA SPA (LOCAL PLAZA COMERCIAL HIVE)</t>
  </si>
  <si>
    <t xml:space="preserve">• Una vez creada la reserva, los complementos podrán agregarse sin que el sistema vuelva a exigir las 2 horas de anticipación. Contamos con servicios que no tienen un clasificacion como complemento pero tambien se pueden vender como facial y depilacion </t>
  </si>
  <si>
    <t>• Si existen dos colaborados de técnicas en uñas disponibles al mismo tiempo, el sistema deberá permitir reservar manicura y pedicura simultáneamente.asignando un servicio a cada una.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</si>
</sst>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9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2" borderId="0" xfId="0" applyFill="1"/>
    <xf numFmtId="0" fontId="3" fillId="2" borderId="0" xfId="0" applyFont="1" applyFill="1" applyAlignment="1">
      <alignment wrapText="1"/>
    </xf>
    <xf numFmtId="1" fontId="0" fillId="2" borderId="0" xfId="0" applyNumberFormat="1" applyFill="1" applyAlignment="1">
      <alignment horizontal="right" indent="1"/>
    </xf>
    <xf numFmtId="1" fontId="0" fillId="0" borderId="0" xfId="0" applyNumberFormat="1" applyAlignment="1">
      <alignment horizontal="right" indent="1"/>
    </xf>
    <xf numFmtId="44" fontId="0" fillId="0" borderId="0" xfId="1" applyFont="1"/>
    <xf numFmtId="169" fontId="3" fillId="0" borderId="0" xfId="1" applyNumberFormat="1" applyFont="1"/>
    <xf numFmtId="0" fontId="5" fillId="0" borderId="0" xfId="0" applyFont="1"/>
    <xf numFmtId="0" fontId="6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3" fillId="3" borderId="0" xfId="0" applyFont="1" applyFill="1"/>
    <xf numFmtId="0" fontId="0" fillId="0" borderId="0" xfId="0" applyAlignment="1">
      <alignment wrapText="1"/>
    </xf>
    <xf numFmtId="169" fontId="0" fillId="0" borderId="0" xfId="0" applyNumberFormat="1"/>
    <xf numFmtId="9" fontId="0" fillId="3" borderId="0" xfId="2" applyFont="1" applyFill="1"/>
    <xf numFmtId="10" fontId="3" fillId="0" borderId="0" xfId="2" applyNumberFormat="1" applyFont="1"/>
    <xf numFmtId="0" fontId="6" fillId="4" borderId="0" xfId="0" applyFont="1" applyFill="1" applyAlignment="1">
      <alignment horizontal="center" wrapText="1"/>
    </xf>
    <xf numFmtId="10" fontId="0" fillId="3" borderId="0" xfId="2" applyNumberFormat="1" applyFont="1" applyFill="1"/>
    <xf numFmtId="0" fontId="0" fillId="5" borderId="0" xfId="0" applyFill="1"/>
    <xf numFmtId="44" fontId="0" fillId="0" borderId="0" xfId="0" applyNumberFormat="1"/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168438</xdr:colOff>
      <xdr:row>42</xdr:row>
      <xdr:rowOff>29600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AAC2F4-2041-2CC6-CEE0-19BAF1AF9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5715798" cy="734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B74E-F2B3-4266-B557-FCE05A186402}">
  <dimension ref="A1:J153"/>
  <sheetViews>
    <sheetView tabSelected="1" workbookViewId="0">
      <selection activeCell="G8" sqref="G8"/>
    </sheetView>
  </sheetViews>
  <sheetFormatPr baseColWidth="10" defaultRowHeight="14.4" x14ac:dyDescent="0.3"/>
  <sheetData>
    <row r="1" spans="1:1" ht="18" x14ac:dyDescent="0.3">
      <c r="A1" s="3" t="s">
        <v>232</v>
      </c>
    </row>
    <row r="3" spans="1:1" x14ac:dyDescent="0.3">
      <c r="A3" t="s">
        <v>233</v>
      </c>
    </row>
    <row r="5" spans="1:1" x14ac:dyDescent="0.3">
      <c r="A5" t="s">
        <v>234</v>
      </c>
    </row>
    <row r="9" spans="1:1" ht="18" x14ac:dyDescent="0.3">
      <c r="A9" s="3" t="s">
        <v>235</v>
      </c>
    </row>
    <row r="11" spans="1:1" x14ac:dyDescent="0.3">
      <c r="A11" t="s">
        <v>236</v>
      </c>
    </row>
    <row r="13" spans="1:1" x14ac:dyDescent="0.3">
      <c r="A13" t="s">
        <v>237</v>
      </c>
    </row>
    <row r="15" spans="1:1" x14ac:dyDescent="0.3">
      <c r="A15" t="s">
        <v>238</v>
      </c>
    </row>
    <row r="19" spans="1:1" ht="18" x14ac:dyDescent="0.3">
      <c r="A19" s="3" t="s">
        <v>239</v>
      </c>
    </row>
    <row r="21" spans="1:1" x14ac:dyDescent="0.3">
      <c r="A21" t="s">
        <v>240</v>
      </c>
    </row>
    <row r="23" spans="1:1" x14ac:dyDescent="0.3">
      <c r="A23" t="s">
        <v>241</v>
      </c>
    </row>
    <row r="25" spans="1:1" x14ac:dyDescent="0.3">
      <c r="A25" t="s">
        <v>242</v>
      </c>
    </row>
    <row r="27" spans="1:1" x14ac:dyDescent="0.3">
      <c r="A27" t="s">
        <v>243</v>
      </c>
    </row>
    <row r="31" spans="1:1" ht="18" x14ac:dyDescent="0.3">
      <c r="A31" s="3" t="s">
        <v>244</v>
      </c>
    </row>
    <row r="33" spans="1:1" x14ac:dyDescent="0.3">
      <c r="A33" t="s">
        <v>245</v>
      </c>
    </row>
    <row r="35" spans="1:1" x14ac:dyDescent="0.3">
      <c r="A35" s="2" t="s">
        <v>246</v>
      </c>
    </row>
    <row r="36" spans="1:1" x14ac:dyDescent="0.3">
      <c r="A36" s="4"/>
    </row>
    <row r="37" spans="1:1" x14ac:dyDescent="0.3">
      <c r="A37" s="4" t="s">
        <v>247</v>
      </c>
    </row>
    <row r="38" spans="1:1" x14ac:dyDescent="0.3">
      <c r="A38" s="4" t="s">
        <v>248</v>
      </c>
    </row>
    <row r="39" spans="1:1" x14ac:dyDescent="0.3">
      <c r="A39" s="4" t="s">
        <v>249</v>
      </c>
    </row>
    <row r="41" spans="1:1" x14ac:dyDescent="0.3">
      <c r="A41" t="s">
        <v>250</v>
      </c>
    </row>
    <row r="43" spans="1:1" x14ac:dyDescent="0.3">
      <c r="A43" s="2" t="s">
        <v>251</v>
      </c>
    </row>
    <row r="44" spans="1:1" x14ac:dyDescent="0.3">
      <c r="A44" s="4"/>
    </row>
    <row r="45" spans="1:1" x14ac:dyDescent="0.3">
      <c r="A45" s="4" t="s">
        <v>252</v>
      </c>
    </row>
    <row r="46" spans="1:1" x14ac:dyDescent="0.3">
      <c r="A46" s="4" t="s">
        <v>253</v>
      </c>
    </row>
    <row r="47" spans="1:1" x14ac:dyDescent="0.3">
      <c r="A47" s="4" t="s">
        <v>254</v>
      </c>
    </row>
    <row r="49" spans="1:1" x14ac:dyDescent="0.3">
      <c r="A49" t="s">
        <v>255</v>
      </c>
    </row>
    <row r="51" spans="1:1" x14ac:dyDescent="0.3">
      <c r="A51" s="2" t="s">
        <v>256</v>
      </c>
    </row>
    <row r="52" spans="1:1" x14ac:dyDescent="0.3">
      <c r="A52" s="4"/>
    </row>
    <row r="53" spans="1:1" x14ac:dyDescent="0.3">
      <c r="A53" s="4" t="s">
        <v>247</v>
      </c>
    </row>
    <row r="54" spans="1:1" x14ac:dyDescent="0.3">
      <c r="A54" s="4" t="s">
        <v>231</v>
      </c>
    </row>
    <row r="55" spans="1:1" x14ac:dyDescent="0.3">
      <c r="A55" s="4" t="s">
        <v>257</v>
      </c>
    </row>
    <row r="57" spans="1:1" x14ac:dyDescent="0.3">
      <c r="A57" t="s">
        <v>258</v>
      </c>
    </row>
    <row r="59" spans="1:1" x14ac:dyDescent="0.3">
      <c r="A59" t="s">
        <v>259</v>
      </c>
    </row>
    <row r="61" spans="1:1" x14ac:dyDescent="0.3">
      <c r="A61" s="2" t="s">
        <v>260</v>
      </c>
    </row>
    <row r="63" spans="1:1" x14ac:dyDescent="0.3">
      <c r="A63" t="s">
        <v>261</v>
      </c>
    </row>
    <row r="64" spans="1:1" x14ac:dyDescent="0.3">
      <c r="A64" s="4"/>
    </row>
    <row r="65" spans="1:10" x14ac:dyDescent="0.3">
      <c r="A65" s="4" t="s">
        <v>262</v>
      </c>
    </row>
    <row r="66" spans="1:10" x14ac:dyDescent="0.3">
      <c r="A66" s="4" t="s">
        <v>263</v>
      </c>
    </row>
    <row r="67" spans="1:10" x14ac:dyDescent="0.3">
      <c r="A67" s="4" t="s">
        <v>264</v>
      </c>
    </row>
    <row r="69" spans="1:10" ht="37.799999999999997" customHeight="1" x14ac:dyDescent="0.3">
      <c r="A69" s="5" t="s">
        <v>265</v>
      </c>
      <c r="B69" s="5"/>
      <c r="C69" s="5"/>
      <c r="D69" s="5"/>
      <c r="E69" s="5"/>
      <c r="F69" s="5"/>
      <c r="G69" s="5"/>
      <c r="H69" s="5"/>
      <c r="I69" s="5"/>
      <c r="J69" s="5"/>
    </row>
    <row r="73" spans="1:10" x14ac:dyDescent="0.3">
      <c r="A73" t="s">
        <v>310</v>
      </c>
    </row>
    <row r="75" spans="1:10" x14ac:dyDescent="0.3">
      <c r="A75" t="s">
        <v>311</v>
      </c>
    </row>
    <row r="76" spans="1:10" x14ac:dyDescent="0.3">
      <c r="A76" s="4"/>
    </row>
    <row r="77" spans="1:10" x14ac:dyDescent="0.3">
      <c r="A77" s="4" t="s">
        <v>312</v>
      </c>
    </row>
    <row r="78" spans="1:10" x14ac:dyDescent="0.3">
      <c r="A78" s="4" t="s">
        <v>313</v>
      </c>
    </row>
    <row r="79" spans="1:10" x14ac:dyDescent="0.3">
      <c r="A79" s="4" t="s">
        <v>314</v>
      </c>
    </row>
    <row r="80" spans="1:10" x14ac:dyDescent="0.3">
      <c r="A80" s="4" t="s">
        <v>315</v>
      </c>
    </row>
    <row r="81" spans="1:1" x14ac:dyDescent="0.3">
      <c r="A81" s="4" t="s">
        <v>316</v>
      </c>
    </row>
    <row r="82" spans="1:1" x14ac:dyDescent="0.3">
      <c r="A82" s="24" t="s">
        <v>317</v>
      </c>
    </row>
    <row r="83" spans="1:1" x14ac:dyDescent="0.3">
      <c r="A83" s="24" t="s">
        <v>318</v>
      </c>
    </row>
    <row r="85" spans="1:1" x14ac:dyDescent="0.3">
      <c r="A85" t="s">
        <v>319</v>
      </c>
    </row>
    <row r="87" spans="1:1" x14ac:dyDescent="0.3">
      <c r="A87" t="s">
        <v>320</v>
      </c>
    </row>
    <row r="89" spans="1:1" x14ac:dyDescent="0.3">
      <c r="A89" t="s">
        <v>321</v>
      </c>
    </row>
    <row r="90" spans="1:1" x14ac:dyDescent="0.3">
      <c r="A90" s="4"/>
    </row>
    <row r="91" spans="1:1" x14ac:dyDescent="0.3">
      <c r="A91" s="4" t="s">
        <v>322</v>
      </c>
    </row>
    <row r="92" spans="1:1" x14ac:dyDescent="0.3">
      <c r="A92" s="4" t="s">
        <v>323</v>
      </c>
    </row>
    <row r="93" spans="1:1" x14ac:dyDescent="0.3">
      <c r="A93" s="4" t="s">
        <v>324</v>
      </c>
    </row>
    <row r="95" spans="1:1" x14ac:dyDescent="0.3">
      <c r="A95" t="s">
        <v>325</v>
      </c>
    </row>
    <row r="97" spans="1:1" x14ac:dyDescent="0.3">
      <c r="A97" t="s">
        <v>326</v>
      </c>
    </row>
    <row r="98" spans="1:1" x14ac:dyDescent="0.3">
      <c r="A98" s="4"/>
    </row>
    <row r="99" spans="1:1" x14ac:dyDescent="0.3">
      <c r="A99" s="4" t="s">
        <v>327</v>
      </c>
    </row>
    <row r="100" spans="1:1" x14ac:dyDescent="0.3">
      <c r="A100" s="4" t="s">
        <v>328</v>
      </c>
    </row>
    <row r="101" spans="1:1" x14ac:dyDescent="0.3">
      <c r="A101" s="4" t="s">
        <v>329</v>
      </c>
    </row>
    <row r="102" spans="1:1" x14ac:dyDescent="0.3">
      <c r="A102" s="4" t="s">
        <v>330</v>
      </c>
    </row>
    <row r="104" spans="1:1" x14ac:dyDescent="0.3">
      <c r="A104" t="s">
        <v>331</v>
      </c>
    </row>
    <row r="105" spans="1:1" x14ac:dyDescent="0.3">
      <c r="A105" s="4"/>
    </row>
    <row r="106" spans="1:1" x14ac:dyDescent="0.3">
      <c r="A106" s="4" t="s">
        <v>332</v>
      </c>
    </row>
    <row r="107" spans="1:1" x14ac:dyDescent="0.3">
      <c r="A107" s="4" t="s">
        <v>333</v>
      </c>
    </row>
    <row r="108" spans="1:1" x14ac:dyDescent="0.3">
      <c r="A108" s="4" t="s">
        <v>334</v>
      </c>
    </row>
    <row r="109" spans="1:1" x14ac:dyDescent="0.3">
      <c r="A109" s="4" t="s">
        <v>335</v>
      </c>
    </row>
    <row r="110" spans="1:1" x14ac:dyDescent="0.3">
      <c r="A110" s="4" t="s">
        <v>336</v>
      </c>
    </row>
    <row r="112" spans="1:1" x14ac:dyDescent="0.3">
      <c r="A112" t="s">
        <v>337</v>
      </c>
    </row>
    <row r="113" spans="1:1" x14ac:dyDescent="0.3">
      <c r="A113" s="4"/>
    </row>
    <row r="114" spans="1:1" x14ac:dyDescent="0.3">
      <c r="A114" s="4" t="s">
        <v>338</v>
      </c>
    </row>
    <row r="115" spans="1:1" x14ac:dyDescent="0.3">
      <c r="A115" s="4" t="s">
        <v>339</v>
      </c>
    </row>
    <row r="117" spans="1:1" x14ac:dyDescent="0.3">
      <c r="A117" t="s">
        <v>340</v>
      </c>
    </row>
    <row r="118" spans="1:1" x14ac:dyDescent="0.3">
      <c r="A118" s="4"/>
    </row>
    <row r="119" spans="1:1" x14ac:dyDescent="0.3">
      <c r="A119" s="4" t="s">
        <v>341</v>
      </c>
    </row>
    <row r="120" spans="1:1" x14ac:dyDescent="0.3">
      <c r="A120" s="4" t="s">
        <v>342</v>
      </c>
    </row>
    <row r="121" spans="1:1" x14ac:dyDescent="0.3">
      <c r="A121" s="4" t="s">
        <v>343</v>
      </c>
    </row>
    <row r="123" spans="1:1" x14ac:dyDescent="0.3">
      <c r="A123" t="s">
        <v>344</v>
      </c>
    </row>
    <row r="125" spans="1:1" x14ac:dyDescent="0.3">
      <c r="A125" t="s">
        <v>345</v>
      </c>
    </row>
    <row r="127" spans="1:1" x14ac:dyDescent="0.3">
      <c r="A127" t="s">
        <v>346</v>
      </c>
    </row>
    <row r="128" spans="1:1" x14ac:dyDescent="0.3">
      <c r="A128" t="s">
        <v>347</v>
      </c>
    </row>
    <row r="130" spans="1:1" x14ac:dyDescent="0.3">
      <c r="A130" t="s">
        <v>348</v>
      </c>
    </row>
    <row r="132" spans="1:1" x14ac:dyDescent="0.3">
      <c r="A132" t="s">
        <v>349</v>
      </c>
    </row>
    <row r="133" spans="1:1" x14ac:dyDescent="0.3">
      <c r="A133" s="4"/>
    </row>
    <row r="134" spans="1:1" x14ac:dyDescent="0.3">
      <c r="A134" s="4" t="s">
        <v>350</v>
      </c>
    </row>
    <row r="135" spans="1:1" x14ac:dyDescent="0.3">
      <c r="A135" s="4" t="s">
        <v>351</v>
      </c>
    </row>
    <row r="136" spans="1:1" x14ac:dyDescent="0.3">
      <c r="A136" s="4" t="s">
        <v>352</v>
      </c>
    </row>
    <row r="137" spans="1:1" x14ac:dyDescent="0.3">
      <c r="A137" s="4" t="s">
        <v>353</v>
      </c>
    </row>
    <row r="139" spans="1:1" x14ac:dyDescent="0.3">
      <c r="A139" t="s">
        <v>354</v>
      </c>
    </row>
    <row r="140" spans="1:1" x14ac:dyDescent="0.3">
      <c r="A140" s="4"/>
    </row>
    <row r="141" spans="1:1" x14ac:dyDescent="0.3">
      <c r="A141" s="4" t="s">
        <v>355</v>
      </c>
    </row>
    <row r="142" spans="1:1" x14ac:dyDescent="0.3">
      <c r="A142" s="4" t="s">
        <v>356</v>
      </c>
    </row>
    <row r="143" spans="1:1" x14ac:dyDescent="0.3">
      <c r="A143" s="4" t="s">
        <v>357</v>
      </c>
    </row>
    <row r="145" spans="1:1" x14ac:dyDescent="0.3">
      <c r="A145" t="s">
        <v>358</v>
      </c>
    </row>
    <row r="146" spans="1:1" x14ac:dyDescent="0.3">
      <c r="A146" s="4"/>
    </row>
    <row r="147" spans="1:1" x14ac:dyDescent="0.3">
      <c r="A147" s="4" t="s">
        <v>359</v>
      </c>
    </row>
    <row r="148" spans="1:1" x14ac:dyDescent="0.3">
      <c r="A148" s="4" t="s">
        <v>360</v>
      </c>
    </row>
    <row r="149" spans="1:1" x14ac:dyDescent="0.3">
      <c r="A149" s="4" t="s">
        <v>361</v>
      </c>
    </row>
    <row r="151" spans="1:1" x14ac:dyDescent="0.3">
      <c r="A151" t="s">
        <v>362</v>
      </c>
    </row>
    <row r="153" spans="1:1" x14ac:dyDescent="0.3">
      <c r="A153" t="s">
        <v>363</v>
      </c>
    </row>
  </sheetData>
  <mergeCells count="1">
    <mergeCell ref="A69:J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6CB0-5669-46D2-B5F9-915203AF73F6}">
  <dimension ref="A1:L112"/>
  <sheetViews>
    <sheetView topLeftCell="A38" workbookViewId="0">
      <selection activeCell="A110" sqref="A110"/>
    </sheetView>
  </sheetViews>
  <sheetFormatPr baseColWidth="10" defaultRowHeight="14.4" x14ac:dyDescent="0.3"/>
  <cols>
    <col min="2" max="2" width="13.33203125" bestFit="1" customWidth="1"/>
    <col min="3" max="3" width="34" customWidth="1"/>
    <col min="12" max="12" width="50" customWidth="1"/>
  </cols>
  <sheetData>
    <row r="1" spans="1:1" x14ac:dyDescent="0.3">
      <c r="A1" s="2" t="s">
        <v>364</v>
      </c>
    </row>
    <row r="2" spans="1:1" x14ac:dyDescent="0.3">
      <c r="A2" s="4"/>
    </row>
    <row r="3" spans="1:1" x14ac:dyDescent="0.3">
      <c r="A3" s="25" t="s">
        <v>402</v>
      </c>
    </row>
    <row r="5" spans="1:1" x14ac:dyDescent="0.3">
      <c r="A5" t="s">
        <v>365</v>
      </c>
    </row>
    <row r="7" spans="1:1" x14ac:dyDescent="0.3">
      <c r="A7" t="s">
        <v>366</v>
      </c>
    </row>
    <row r="9" spans="1:1" x14ac:dyDescent="0.3">
      <c r="A9" t="s">
        <v>367</v>
      </c>
    </row>
    <row r="11" spans="1:1" x14ac:dyDescent="0.3">
      <c r="A11" t="s">
        <v>368</v>
      </c>
    </row>
    <row r="13" spans="1:1" x14ac:dyDescent="0.3">
      <c r="A13" t="s">
        <v>369</v>
      </c>
    </row>
    <row r="14" spans="1:1" x14ac:dyDescent="0.3">
      <c r="A14" s="4"/>
    </row>
    <row r="15" spans="1:1" x14ac:dyDescent="0.3">
      <c r="A15" s="25" t="s">
        <v>370</v>
      </c>
    </row>
    <row r="17" spans="1:1" x14ac:dyDescent="0.3">
      <c r="A17" t="s">
        <v>371</v>
      </c>
    </row>
    <row r="19" spans="1:1" x14ac:dyDescent="0.3">
      <c r="A19" t="s">
        <v>403</v>
      </c>
    </row>
    <row r="21" spans="1:1" x14ac:dyDescent="0.3">
      <c r="A21" t="s">
        <v>372</v>
      </c>
    </row>
    <row r="23" spans="1:1" x14ac:dyDescent="0.3">
      <c r="A23" t="s">
        <v>373</v>
      </c>
    </row>
    <row r="24" spans="1:1" x14ac:dyDescent="0.3">
      <c r="A24" s="4"/>
    </row>
    <row r="25" spans="1:1" x14ac:dyDescent="0.3">
      <c r="A25" s="4" t="s">
        <v>374</v>
      </c>
    </row>
    <row r="27" spans="1:1" x14ac:dyDescent="0.3">
      <c r="A27" t="s">
        <v>404</v>
      </c>
    </row>
    <row r="29" spans="1:1" x14ac:dyDescent="0.3">
      <c r="A29" t="s">
        <v>375</v>
      </c>
    </row>
    <row r="31" spans="1:1" x14ac:dyDescent="0.3">
      <c r="A31" t="s">
        <v>376</v>
      </c>
    </row>
    <row r="32" spans="1:1" x14ac:dyDescent="0.3">
      <c r="A32" s="4"/>
    </row>
    <row r="33" spans="1:1" x14ac:dyDescent="0.3">
      <c r="A33" s="25" t="s">
        <v>377</v>
      </c>
    </row>
    <row r="35" spans="1:1" x14ac:dyDescent="0.3">
      <c r="A35" t="s">
        <v>378</v>
      </c>
    </row>
    <row r="37" spans="1:1" x14ac:dyDescent="0.3">
      <c r="A37" t="s">
        <v>379</v>
      </c>
    </row>
    <row r="38" spans="1:1" x14ac:dyDescent="0.3">
      <c r="A38" t="s">
        <v>380</v>
      </c>
    </row>
    <row r="40" spans="1:1" x14ac:dyDescent="0.3">
      <c r="A40" t="s">
        <v>381</v>
      </c>
    </row>
    <row r="42" spans="1:1" x14ac:dyDescent="0.3">
      <c r="A42" t="s">
        <v>382</v>
      </c>
    </row>
    <row r="44" spans="1:1" x14ac:dyDescent="0.3">
      <c r="A44" t="s">
        <v>383</v>
      </c>
    </row>
    <row r="45" spans="1:1" x14ac:dyDescent="0.3">
      <c r="A45" s="4"/>
    </row>
    <row r="46" spans="1:1" x14ac:dyDescent="0.3">
      <c r="A46" s="25" t="s">
        <v>384</v>
      </c>
    </row>
    <row r="48" spans="1:1" x14ac:dyDescent="0.3">
      <c r="A48" t="s">
        <v>385</v>
      </c>
    </row>
    <row r="50" spans="1:1" x14ac:dyDescent="0.3">
      <c r="A50" t="s">
        <v>386</v>
      </c>
    </row>
    <row r="52" spans="1:1" x14ac:dyDescent="0.3">
      <c r="A52" t="s">
        <v>348</v>
      </c>
    </row>
    <row r="53" spans="1:1" x14ac:dyDescent="0.3">
      <c r="A53" s="4"/>
    </row>
    <row r="54" spans="1:1" x14ac:dyDescent="0.3">
      <c r="A54" s="4" t="s">
        <v>387</v>
      </c>
    </row>
    <row r="55" spans="1:1" x14ac:dyDescent="0.3">
      <c r="A55" s="4" t="s">
        <v>388</v>
      </c>
    </row>
    <row r="56" spans="1:1" x14ac:dyDescent="0.3">
      <c r="A56" s="4"/>
    </row>
    <row r="57" spans="1:1" x14ac:dyDescent="0.3">
      <c r="A57" s="4" t="s">
        <v>389</v>
      </c>
    </row>
    <row r="58" spans="1:1" x14ac:dyDescent="0.3">
      <c r="A58" s="4" t="s">
        <v>390</v>
      </c>
    </row>
    <row r="60" spans="1:1" x14ac:dyDescent="0.3">
      <c r="A60" t="s">
        <v>391</v>
      </c>
    </row>
    <row r="62" spans="1:1" x14ac:dyDescent="0.3">
      <c r="A62" t="s">
        <v>392</v>
      </c>
    </row>
    <row r="63" spans="1:1" x14ac:dyDescent="0.3">
      <c r="A63" s="4"/>
    </row>
    <row r="64" spans="1:1" x14ac:dyDescent="0.3">
      <c r="A64" s="4" t="s">
        <v>393</v>
      </c>
    </row>
    <row r="66" spans="1:12" x14ac:dyDescent="0.3">
      <c r="A66" t="s">
        <v>394</v>
      </c>
    </row>
    <row r="68" spans="1:12" x14ac:dyDescent="0.3">
      <c r="A68" t="s">
        <v>348</v>
      </c>
    </row>
    <row r="69" spans="1:12" x14ac:dyDescent="0.3">
      <c r="A69" s="4"/>
    </row>
    <row r="70" spans="1:12" x14ac:dyDescent="0.3">
      <c r="A70" s="1" t="s">
        <v>1</v>
      </c>
      <c r="B70" s="1" t="s">
        <v>2</v>
      </c>
      <c r="C70" s="1" t="s">
        <v>3</v>
      </c>
      <c r="D70" s="1" t="s">
        <v>5</v>
      </c>
      <c r="E70" s="1" t="s">
        <v>6</v>
      </c>
      <c r="G70" s="1" t="s">
        <v>1</v>
      </c>
      <c r="H70" s="1" t="s">
        <v>2</v>
      </c>
      <c r="I70" s="1" t="s">
        <v>3</v>
      </c>
      <c r="J70" s="1" t="s">
        <v>5</v>
      </c>
      <c r="K70" s="1" t="s">
        <v>6</v>
      </c>
      <c r="L70" s="1" t="s">
        <v>7</v>
      </c>
    </row>
    <row r="71" spans="1:12" ht="15" customHeight="1" x14ac:dyDescent="0.3">
      <c r="A71" t="s">
        <v>13</v>
      </c>
      <c r="B71" t="s">
        <v>219</v>
      </c>
      <c r="C71" t="s">
        <v>220</v>
      </c>
      <c r="D71" t="s">
        <v>200</v>
      </c>
      <c r="E71">
        <v>250</v>
      </c>
      <c r="G71" s="6" t="s">
        <v>183</v>
      </c>
      <c r="H71" s="6" t="s">
        <v>184</v>
      </c>
      <c r="I71" s="6" t="s">
        <v>185</v>
      </c>
      <c r="J71" s="6" t="s">
        <v>28</v>
      </c>
      <c r="K71" s="6">
        <v>465</v>
      </c>
      <c r="L71" s="7" t="s">
        <v>186</v>
      </c>
    </row>
    <row r="72" spans="1:12" x14ac:dyDescent="0.3">
      <c r="A72" t="s">
        <v>13</v>
      </c>
      <c r="B72" t="s">
        <v>219</v>
      </c>
      <c r="C72" t="s">
        <v>220</v>
      </c>
      <c r="D72" t="s">
        <v>28</v>
      </c>
      <c r="E72">
        <v>450</v>
      </c>
      <c r="G72" t="s">
        <v>183</v>
      </c>
      <c r="H72" t="s">
        <v>184</v>
      </c>
      <c r="I72" t="s">
        <v>188</v>
      </c>
      <c r="J72" t="s">
        <v>189</v>
      </c>
      <c r="K72">
        <v>140</v>
      </c>
    </row>
    <row r="73" spans="1:12" x14ac:dyDescent="0.3">
      <c r="A73" t="s">
        <v>13</v>
      </c>
      <c r="B73" t="s">
        <v>219</v>
      </c>
      <c r="C73" t="s">
        <v>221</v>
      </c>
      <c r="D73" t="s">
        <v>200</v>
      </c>
      <c r="E73">
        <v>250</v>
      </c>
      <c r="G73" t="s">
        <v>183</v>
      </c>
      <c r="H73" t="s">
        <v>184</v>
      </c>
      <c r="I73" t="s">
        <v>191</v>
      </c>
      <c r="J73" t="s">
        <v>189</v>
      </c>
      <c r="K73">
        <v>140</v>
      </c>
    </row>
    <row r="74" spans="1:12" x14ac:dyDescent="0.3">
      <c r="A74" t="s">
        <v>13</v>
      </c>
      <c r="B74" t="s">
        <v>219</v>
      </c>
      <c r="C74" t="s">
        <v>33</v>
      </c>
      <c r="D74" t="s">
        <v>28</v>
      </c>
      <c r="E74">
        <v>650</v>
      </c>
      <c r="G74" t="s">
        <v>183</v>
      </c>
      <c r="H74" t="s">
        <v>184</v>
      </c>
      <c r="I74" t="s">
        <v>134</v>
      </c>
      <c r="J74" t="s">
        <v>190</v>
      </c>
      <c r="K74">
        <v>140</v>
      </c>
    </row>
    <row r="75" spans="1:12" x14ac:dyDescent="0.3">
      <c r="A75" t="s">
        <v>13</v>
      </c>
      <c r="B75" t="s">
        <v>219</v>
      </c>
      <c r="C75" t="s">
        <v>225</v>
      </c>
      <c r="D75" t="s">
        <v>28</v>
      </c>
      <c r="E75">
        <v>550</v>
      </c>
      <c r="G75" t="s">
        <v>183</v>
      </c>
      <c r="H75" t="s">
        <v>184</v>
      </c>
      <c r="I75" t="s">
        <v>192</v>
      </c>
      <c r="J75" t="s">
        <v>89</v>
      </c>
      <c r="K75">
        <v>230</v>
      </c>
    </row>
    <row r="76" spans="1:12" x14ac:dyDescent="0.3">
      <c r="A76" t="s">
        <v>13</v>
      </c>
      <c r="B76" t="s">
        <v>219</v>
      </c>
      <c r="C76" t="s">
        <v>226</v>
      </c>
      <c r="D76" t="s">
        <v>227</v>
      </c>
      <c r="E76">
        <v>250</v>
      </c>
      <c r="G76" t="s">
        <v>183</v>
      </c>
      <c r="H76" t="s">
        <v>184</v>
      </c>
      <c r="I76" t="s">
        <v>193</v>
      </c>
      <c r="J76" t="s">
        <v>189</v>
      </c>
      <c r="K76">
        <v>140</v>
      </c>
    </row>
    <row r="77" spans="1:12" x14ac:dyDescent="0.3">
      <c r="A77" t="s">
        <v>13</v>
      </c>
      <c r="B77" t="s">
        <v>219</v>
      </c>
      <c r="C77" t="s">
        <v>226</v>
      </c>
      <c r="D77" t="s">
        <v>28</v>
      </c>
      <c r="E77">
        <v>450</v>
      </c>
      <c r="G77" t="s">
        <v>183</v>
      </c>
      <c r="H77" t="s">
        <v>184</v>
      </c>
      <c r="I77" t="s">
        <v>194</v>
      </c>
      <c r="J77" t="s">
        <v>195</v>
      </c>
      <c r="K77">
        <v>135</v>
      </c>
    </row>
    <row r="78" spans="1:12" x14ac:dyDescent="0.3">
      <c r="A78" t="s">
        <v>46</v>
      </c>
      <c r="B78" t="s">
        <v>219</v>
      </c>
      <c r="C78" t="s">
        <v>221</v>
      </c>
      <c r="D78" t="s">
        <v>28</v>
      </c>
      <c r="E78">
        <v>450</v>
      </c>
      <c r="G78" t="s">
        <v>183</v>
      </c>
      <c r="H78" t="s">
        <v>184</v>
      </c>
      <c r="I78" t="s">
        <v>196</v>
      </c>
      <c r="J78" t="s">
        <v>195</v>
      </c>
      <c r="K78">
        <v>140</v>
      </c>
    </row>
    <row r="79" spans="1:12" x14ac:dyDescent="0.3">
      <c r="A79" t="s">
        <v>46</v>
      </c>
      <c r="B79" t="s">
        <v>219</v>
      </c>
      <c r="C79" t="s">
        <v>222</v>
      </c>
      <c r="D79" t="s">
        <v>28</v>
      </c>
      <c r="E79">
        <v>650</v>
      </c>
      <c r="G79" t="s">
        <v>183</v>
      </c>
      <c r="H79" t="s">
        <v>184</v>
      </c>
      <c r="I79" t="s">
        <v>197</v>
      </c>
      <c r="J79" t="s">
        <v>189</v>
      </c>
      <c r="K79">
        <v>140</v>
      </c>
    </row>
    <row r="80" spans="1:12" x14ac:dyDescent="0.3">
      <c r="A80" t="s">
        <v>46</v>
      </c>
      <c r="B80" t="s">
        <v>219</v>
      </c>
      <c r="C80" t="s">
        <v>223</v>
      </c>
      <c r="D80" t="s">
        <v>28</v>
      </c>
      <c r="E80">
        <v>650</v>
      </c>
      <c r="G80" t="s">
        <v>183</v>
      </c>
      <c r="H80" t="s">
        <v>184</v>
      </c>
      <c r="I80" t="s">
        <v>198</v>
      </c>
      <c r="J80" t="s">
        <v>189</v>
      </c>
      <c r="K80">
        <v>140</v>
      </c>
    </row>
    <row r="81" spans="1:11" x14ac:dyDescent="0.3">
      <c r="A81" t="s">
        <v>46</v>
      </c>
      <c r="B81" t="s">
        <v>219</v>
      </c>
      <c r="C81" t="s">
        <v>224</v>
      </c>
      <c r="D81" t="s">
        <v>200</v>
      </c>
      <c r="E81">
        <v>350</v>
      </c>
      <c r="G81" t="s">
        <v>183</v>
      </c>
      <c r="H81" t="s">
        <v>184</v>
      </c>
      <c r="I81" t="s">
        <v>199</v>
      </c>
      <c r="J81" t="s">
        <v>190</v>
      </c>
      <c r="K81">
        <v>155</v>
      </c>
    </row>
    <row r="82" spans="1:11" x14ac:dyDescent="0.3">
      <c r="G82" t="s">
        <v>183</v>
      </c>
      <c r="H82" t="s">
        <v>184</v>
      </c>
      <c r="I82" t="s">
        <v>201</v>
      </c>
      <c r="J82" t="s">
        <v>89</v>
      </c>
      <c r="K82">
        <v>175</v>
      </c>
    </row>
    <row r="83" spans="1:11" x14ac:dyDescent="0.3">
      <c r="G83" t="s">
        <v>183</v>
      </c>
      <c r="H83" t="s">
        <v>184</v>
      </c>
      <c r="I83" t="s">
        <v>202</v>
      </c>
      <c r="J83" t="s">
        <v>187</v>
      </c>
      <c r="K83">
        <v>600</v>
      </c>
    </row>
    <row r="84" spans="1:11" x14ac:dyDescent="0.3">
      <c r="G84" t="s">
        <v>183</v>
      </c>
      <c r="H84" t="s">
        <v>184</v>
      </c>
      <c r="I84" t="s">
        <v>203</v>
      </c>
      <c r="J84" t="s">
        <v>204</v>
      </c>
      <c r="K84">
        <v>290</v>
      </c>
    </row>
    <row r="85" spans="1:11" x14ac:dyDescent="0.3">
      <c r="G85" t="s">
        <v>183</v>
      </c>
      <c r="H85" t="s">
        <v>184</v>
      </c>
      <c r="I85" t="s">
        <v>205</v>
      </c>
      <c r="J85" t="s">
        <v>206</v>
      </c>
      <c r="K85">
        <v>340</v>
      </c>
    </row>
    <row r="86" spans="1:11" x14ac:dyDescent="0.3">
      <c r="G86" t="s">
        <v>183</v>
      </c>
      <c r="H86" t="s">
        <v>184</v>
      </c>
      <c r="I86" t="s">
        <v>207</v>
      </c>
      <c r="J86" t="s">
        <v>189</v>
      </c>
      <c r="K86">
        <v>155</v>
      </c>
    </row>
    <row r="87" spans="1:11" x14ac:dyDescent="0.3">
      <c r="G87" t="s">
        <v>183</v>
      </c>
      <c r="H87" t="s">
        <v>184</v>
      </c>
      <c r="I87" t="s">
        <v>208</v>
      </c>
      <c r="J87" t="s">
        <v>69</v>
      </c>
      <c r="K87">
        <v>425</v>
      </c>
    </row>
    <row r="88" spans="1:11" x14ac:dyDescent="0.3">
      <c r="G88" t="s">
        <v>183</v>
      </c>
      <c r="H88" t="s">
        <v>184</v>
      </c>
      <c r="I88" t="s">
        <v>209</v>
      </c>
      <c r="J88" t="s">
        <v>28</v>
      </c>
      <c r="K88">
        <v>510</v>
      </c>
    </row>
    <row r="89" spans="1:11" x14ac:dyDescent="0.3">
      <c r="G89" t="s">
        <v>183</v>
      </c>
      <c r="H89" t="s">
        <v>184</v>
      </c>
      <c r="I89" t="s">
        <v>210</v>
      </c>
      <c r="J89" t="s">
        <v>69</v>
      </c>
      <c r="K89">
        <v>385</v>
      </c>
    </row>
    <row r="90" spans="1:11" x14ac:dyDescent="0.3">
      <c r="G90" t="s">
        <v>183</v>
      </c>
      <c r="H90" t="s">
        <v>184</v>
      </c>
      <c r="I90" t="s">
        <v>211</v>
      </c>
      <c r="J90" t="s">
        <v>28</v>
      </c>
      <c r="K90">
        <v>405</v>
      </c>
    </row>
    <row r="91" spans="1:11" x14ac:dyDescent="0.3">
      <c r="G91" t="s">
        <v>183</v>
      </c>
      <c r="H91" t="s">
        <v>184</v>
      </c>
      <c r="I91" t="s">
        <v>212</v>
      </c>
      <c r="J91" t="s">
        <v>69</v>
      </c>
      <c r="K91">
        <v>335</v>
      </c>
    </row>
    <row r="92" spans="1:11" x14ac:dyDescent="0.3">
      <c r="G92" t="s">
        <v>183</v>
      </c>
      <c r="H92" t="s">
        <v>184</v>
      </c>
      <c r="I92" t="s">
        <v>213</v>
      </c>
      <c r="J92" t="s">
        <v>28</v>
      </c>
      <c r="K92">
        <v>445</v>
      </c>
    </row>
    <row r="93" spans="1:11" x14ac:dyDescent="0.3">
      <c r="G93" t="s">
        <v>183</v>
      </c>
      <c r="H93" t="s">
        <v>184</v>
      </c>
      <c r="I93" t="s">
        <v>214</v>
      </c>
      <c r="J93" t="s">
        <v>200</v>
      </c>
      <c r="K93">
        <v>200</v>
      </c>
    </row>
    <row r="94" spans="1:11" x14ac:dyDescent="0.3">
      <c r="G94" t="s">
        <v>183</v>
      </c>
      <c r="H94" t="s">
        <v>184</v>
      </c>
      <c r="I94" t="s">
        <v>215</v>
      </c>
      <c r="J94" t="s">
        <v>89</v>
      </c>
      <c r="K94">
        <v>270</v>
      </c>
    </row>
    <row r="95" spans="1:11" x14ac:dyDescent="0.3">
      <c r="G95" t="s">
        <v>183</v>
      </c>
      <c r="H95" t="s">
        <v>184</v>
      </c>
      <c r="I95" t="s">
        <v>216</v>
      </c>
      <c r="J95" t="s">
        <v>28</v>
      </c>
      <c r="K95">
        <v>310</v>
      </c>
    </row>
    <row r="96" spans="1:11" x14ac:dyDescent="0.3">
      <c r="G96" t="s">
        <v>183</v>
      </c>
      <c r="H96" t="s">
        <v>184</v>
      </c>
      <c r="I96" t="s">
        <v>217</v>
      </c>
      <c r="J96" t="s">
        <v>190</v>
      </c>
      <c r="K96">
        <v>210</v>
      </c>
    </row>
    <row r="97" spans="1:11" x14ac:dyDescent="0.3">
      <c r="G97" t="s">
        <v>183</v>
      </c>
      <c r="H97" t="s">
        <v>184</v>
      </c>
      <c r="I97" t="s">
        <v>218</v>
      </c>
      <c r="J97" t="s">
        <v>81</v>
      </c>
      <c r="K97">
        <v>2050</v>
      </c>
    </row>
    <row r="100" spans="1:11" x14ac:dyDescent="0.3">
      <c r="A100" t="s">
        <v>395</v>
      </c>
    </row>
    <row r="101" spans="1:11" x14ac:dyDescent="0.3">
      <c r="A101" s="4"/>
    </row>
    <row r="102" spans="1:11" x14ac:dyDescent="0.3">
      <c r="A102" s="25" t="s">
        <v>396</v>
      </c>
    </row>
    <row r="104" spans="1:11" x14ac:dyDescent="0.3">
      <c r="A104" t="s">
        <v>397</v>
      </c>
    </row>
    <row r="106" spans="1:11" x14ac:dyDescent="0.3">
      <c r="A106" t="s">
        <v>398</v>
      </c>
    </row>
    <row r="108" spans="1:11" x14ac:dyDescent="0.3">
      <c r="A108" t="s">
        <v>399</v>
      </c>
    </row>
    <row r="109" spans="1:11" x14ac:dyDescent="0.3">
      <c r="A109" s="4"/>
    </row>
    <row r="110" spans="1:11" x14ac:dyDescent="0.3">
      <c r="A110" s="25" t="s">
        <v>400</v>
      </c>
    </row>
    <row r="112" spans="1:11" x14ac:dyDescent="0.3">
      <c r="A112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60"/>
  <sheetViews>
    <sheetView topLeftCell="A124" workbookViewId="0">
      <selection activeCell="B1" sqref="B1:I149"/>
    </sheetView>
  </sheetViews>
  <sheetFormatPr baseColWidth="10" defaultColWidth="8.88671875" defaultRowHeight="14.4" x14ac:dyDescent="0.3"/>
  <cols>
    <col min="1" max="1" width="45" bestFit="1" customWidth="1"/>
    <col min="2" max="2" width="9.5546875" bestFit="1" customWidth="1"/>
    <col min="3" max="3" width="19.88671875" bestFit="1" customWidth="1"/>
    <col min="4" max="4" width="24.88671875" customWidth="1"/>
    <col min="5" max="5" width="12.109375" customWidth="1"/>
    <col min="6" max="6" width="20.109375" bestFit="1" customWidth="1"/>
    <col min="8" max="8" width="6.21875" bestFit="1" customWidth="1"/>
    <col min="9" max="9" width="72.44140625" customWidth="1"/>
    <col min="10" max="10" width="16.21875" bestFit="1" customWidth="1"/>
    <col min="11" max="11" width="15.77734375" bestFit="1" customWidth="1"/>
    <col min="12" max="12" width="216.77734375" bestFit="1" customWidth="1"/>
    <col min="13" max="13" width="19.44140625" bestFit="1" customWidth="1"/>
    <col min="14" max="14" width="70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267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idden="1" x14ac:dyDescent="0.3">
      <c r="A2" t="s">
        <v>266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>
        <v>1550</v>
      </c>
      <c r="L2" t="s">
        <v>270</v>
      </c>
      <c r="M2" t="s">
        <v>18</v>
      </c>
      <c r="N2" t="s">
        <v>19</v>
      </c>
    </row>
    <row r="3" spans="1:14" hidden="1" x14ac:dyDescent="0.3">
      <c r="A3" t="s">
        <v>266</v>
      </c>
      <c r="B3" t="s">
        <v>13</v>
      </c>
      <c r="C3" t="s">
        <v>14</v>
      </c>
      <c r="D3" t="s">
        <v>15</v>
      </c>
      <c r="F3" t="s">
        <v>16</v>
      </c>
      <c r="G3" t="s">
        <v>20</v>
      </c>
      <c r="H3">
        <v>2000</v>
      </c>
      <c r="L3" t="s">
        <v>270</v>
      </c>
      <c r="M3" t="s">
        <v>18</v>
      </c>
      <c r="N3" t="s">
        <v>19</v>
      </c>
    </row>
    <row r="4" spans="1:14" hidden="1" x14ac:dyDescent="0.3">
      <c r="A4" t="s">
        <v>266</v>
      </c>
      <c r="B4" t="s">
        <v>13</v>
      </c>
      <c r="C4" t="s">
        <v>14</v>
      </c>
      <c r="D4" t="s">
        <v>15</v>
      </c>
      <c r="F4" t="s">
        <v>21</v>
      </c>
      <c r="G4" t="s">
        <v>17</v>
      </c>
      <c r="H4">
        <v>3100</v>
      </c>
      <c r="L4" t="s">
        <v>270</v>
      </c>
      <c r="M4" t="s">
        <v>18</v>
      </c>
      <c r="N4" t="s">
        <v>19</v>
      </c>
    </row>
    <row r="5" spans="1:14" hidden="1" x14ac:dyDescent="0.3">
      <c r="A5" t="s">
        <v>266</v>
      </c>
      <c r="B5" t="s">
        <v>13</v>
      </c>
      <c r="C5" t="s">
        <v>14</v>
      </c>
      <c r="D5" t="s">
        <v>15</v>
      </c>
      <c r="F5" t="s">
        <v>21</v>
      </c>
      <c r="G5" t="s">
        <v>20</v>
      </c>
      <c r="H5">
        <v>4000</v>
      </c>
      <c r="L5" t="s">
        <v>270</v>
      </c>
      <c r="M5" t="s">
        <v>18</v>
      </c>
      <c r="N5" t="s">
        <v>19</v>
      </c>
    </row>
    <row r="6" spans="1:14" hidden="1" x14ac:dyDescent="0.3">
      <c r="A6" t="s">
        <v>266</v>
      </c>
      <c r="B6" t="s">
        <v>13</v>
      </c>
      <c r="C6" t="s">
        <v>14</v>
      </c>
      <c r="D6" t="s">
        <v>22</v>
      </c>
      <c r="F6" t="s">
        <v>16</v>
      </c>
      <c r="G6" t="s">
        <v>20</v>
      </c>
      <c r="H6">
        <v>2140</v>
      </c>
      <c r="L6" t="s">
        <v>270</v>
      </c>
      <c r="M6" t="s">
        <v>18</v>
      </c>
      <c r="N6" t="s">
        <v>19</v>
      </c>
    </row>
    <row r="7" spans="1:14" hidden="1" x14ac:dyDescent="0.3">
      <c r="A7" t="s">
        <v>266</v>
      </c>
      <c r="B7" t="s">
        <v>13</v>
      </c>
      <c r="C7" t="s">
        <v>14</v>
      </c>
      <c r="D7" t="s">
        <v>22</v>
      </c>
      <c r="F7" t="s">
        <v>21</v>
      </c>
      <c r="G7" t="s">
        <v>20</v>
      </c>
      <c r="H7">
        <v>4280</v>
      </c>
      <c r="L7" t="s">
        <v>270</v>
      </c>
      <c r="M7" t="s">
        <v>18</v>
      </c>
      <c r="N7" t="s">
        <v>19</v>
      </c>
    </row>
    <row r="8" spans="1:14" hidden="1" x14ac:dyDescent="0.3">
      <c r="A8" t="s">
        <v>266</v>
      </c>
      <c r="B8" t="s">
        <v>13</v>
      </c>
      <c r="C8" t="s">
        <v>14</v>
      </c>
      <c r="D8" t="s">
        <v>23</v>
      </c>
      <c r="F8" t="s">
        <v>16</v>
      </c>
      <c r="G8" t="s">
        <v>17</v>
      </c>
      <c r="H8">
        <v>1550</v>
      </c>
      <c r="L8" t="s">
        <v>270</v>
      </c>
      <c r="M8" t="s">
        <v>18</v>
      </c>
      <c r="N8" t="s">
        <v>19</v>
      </c>
    </row>
    <row r="9" spans="1:14" hidden="1" x14ac:dyDescent="0.3">
      <c r="A9" t="s">
        <v>266</v>
      </c>
      <c r="B9" t="s">
        <v>13</v>
      </c>
      <c r="C9" t="s">
        <v>14</v>
      </c>
      <c r="D9" t="s">
        <v>23</v>
      </c>
      <c r="F9" t="s">
        <v>16</v>
      </c>
      <c r="G9" t="s">
        <v>20</v>
      </c>
      <c r="H9">
        <v>2000</v>
      </c>
      <c r="L9" t="s">
        <v>270</v>
      </c>
      <c r="M9" t="s">
        <v>18</v>
      </c>
      <c r="N9" t="s">
        <v>19</v>
      </c>
    </row>
    <row r="10" spans="1:14" hidden="1" x14ac:dyDescent="0.3">
      <c r="A10" t="s">
        <v>266</v>
      </c>
      <c r="B10" t="s">
        <v>13</v>
      </c>
      <c r="C10" t="s">
        <v>14</v>
      </c>
      <c r="D10" t="s">
        <v>23</v>
      </c>
      <c r="F10" t="s">
        <v>21</v>
      </c>
      <c r="G10" t="s">
        <v>17</v>
      </c>
      <c r="H10">
        <v>3100</v>
      </c>
      <c r="L10" t="s">
        <v>270</v>
      </c>
      <c r="M10" t="s">
        <v>18</v>
      </c>
      <c r="N10" t="s">
        <v>19</v>
      </c>
    </row>
    <row r="11" spans="1:14" hidden="1" x14ac:dyDescent="0.3">
      <c r="A11" t="s">
        <v>266</v>
      </c>
      <c r="B11" t="s">
        <v>13</v>
      </c>
      <c r="C11" t="s">
        <v>14</v>
      </c>
      <c r="D11" t="s">
        <v>23</v>
      </c>
      <c r="F11" t="s">
        <v>21</v>
      </c>
      <c r="G11" t="s">
        <v>20</v>
      </c>
      <c r="H11">
        <v>4000</v>
      </c>
      <c r="L11" t="s">
        <v>270</v>
      </c>
      <c r="M11" t="s">
        <v>18</v>
      </c>
      <c r="N11" t="s">
        <v>19</v>
      </c>
    </row>
    <row r="12" spans="1:14" hidden="1" x14ac:dyDescent="0.3">
      <c r="A12" t="s">
        <v>266</v>
      </c>
      <c r="B12" t="s">
        <v>13</v>
      </c>
      <c r="C12" t="s">
        <v>14</v>
      </c>
      <c r="D12" t="s">
        <v>24</v>
      </c>
      <c r="F12" t="s">
        <v>16</v>
      </c>
      <c r="G12" t="s">
        <v>17</v>
      </c>
      <c r="H12">
        <v>1550</v>
      </c>
      <c r="L12" t="s">
        <v>270</v>
      </c>
      <c r="M12" t="s">
        <v>18</v>
      </c>
      <c r="N12" t="s">
        <v>19</v>
      </c>
    </row>
    <row r="13" spans="1:14" hidden="1" x14ac:dyDescent="0.3">
      <c r="A13" t="s">
        <v>266</v>
      </c>
      <c r="B13" t="s">
        <v>13</v>
      </c>
      <c r="C13" t="s">
        <v>14</v>
      </c>
      <c r="D13" t="s">
        <v>24</v>
      </c>
      <c r="F13" t="s">
        <v>16</v>
      </c>
      <c r="G13" t="s">
        <v>20</v>
      </c>
      <c r="H13">
        <v>2000</v>
      </c>
      <c r="L13" t="s">
        <v>270</v>
      </c>
      <c r="M13" t="s">
        <v>18</v>
      </c>
      <c r="N13" t="s">
        <v>19</v>
      </c>
    </row>
    <row r="14" spans="1:14" hidden="1" x14ac:dyDescent="0.3">
      <c r="A14" t="s">
        <v>266</v>
      </c>
      <c r="B14" t="s">
        <v>13</v>
      </c>
      <c r="C14" t="s">
        <v>14</v>
      </c>
      <c r="D14" t="s">
        <v>24</v>
      </c>
      <c r="F14" t="s">
        <v>21</v>
      </c>
      <c r="G14" t="s">
        <v>17</v>
      </c>
      <c r="H14">
        <v>3100</v>
      </c>
      <c r="L14" t="s">
        <v>270</v>
      </c>
      <c r="M14" t="s">
        <v>18</v>
      </c>
      <c r="N14" t="s">
        <v>19</v>
      </c>
    </row>
    <row r="15" spans="1:14" hidden="1" x14ac:dyDescent="0.3">
      <c r="A15" t="s">
        <v>266</v>
      </c>
      <c r="B15" t="s">
        <v>13</v>
      </c>
      <c r="C15" t="s">
        <v>14</v>
      </c>
      <c r="D15" t="s">
        <v>24</v>
      </c>
      <c r="F15" t="s">
        <v>21</v>
      </c>
      <c r="G15" t="s">
        <v>20</v>
      </c>
      <c r="H15">
        <v>4000</v>
      </c>
      <c r="L15" t="s">
        <v>270</v>
      </c>
      <c r="M15" t="s">
        <v>18</v>
      </c>
      <c r="N15" t="s">
        <v>19</v>
      </c>
    </row>
    <row r="16" spans="1:14" hidden="1" x14ac:dyDescent="0.3">
      <c r="B16" t="s">
        <v>13</v>
      </c>
      <c r="C16" t="s">
        <v>14</v>
      </c>
      <c r="D16" t="s">
        <v>25</v>
      </c>
      <c r="E16" t="s">
        <v>268</v>
      </c>
      <c r="F16" t="s">
        <v>16</v>
      </c>
      <c r="G16" t="s">
        <v>17</v>
      </c>
      <c r="H16">
        <v>2450</v>
      </c>
      <c r="L16" t="s">
        <v>270</v>
      </c>
      <c r="M16" t="s">
        <v>18</v>
      </c>
      <c r="N16" t="s">
        <v>19</v>
      </c>
    </row>
    <row r="17" spans="1:14" hidden="1" x14ac:dyDescent="0.3">
      <c r="B17" t="s">
        <v>13</v>
      </c>
      <c r="C17" t="s">
        <v>14</v>
      </c>
      <c r="D17" t="s">
        <v>26</v>
      </c>
      <c r="E17" t="s">
        <v>268</v>
      </c>
      <c r="F17" t="s">
        <v>16</v>
      </c>
      <c r="G17" t="s">
        <v>17</v>
      </c>
      <c r="H17">
        <v>750</v>
      </c>
      <c r="L17" t="s">
        <v>270</v>
      </c>
      <c r="M17" t="s">
        <v>18</v>
      </c>
      <c r="N17" t="s">
        <v>19</v>
      </c>
    </row>
    <row r="18" spans="1:14" hidden="1" x14ac:dyDescent="0.3">
      <c r="A18" t="s">
        <v>233</v>
      </c>
      <c r="B18" t="s">
        <v>13</v>
      </c>
      <c r="C18" t="s">
        <v>14</v>
      </c>
      <c r="D18" t="s">
        <v>27</v>
      </c>
      <c r="F18" t="s">
        <v>16</v>
      </c>
      <c r="G18" t="s">
        <v>28</v>
      </c>
      <c r="H18">
        <v>790</v>
      </c>
      <c r="L18" t="s">
        <v>270</v>
      </c>
      <c r="M18" t="s">
        <v>43</v>
      </c>
      <c r="N18" t="s">
        <v>19</v>
      </c>
    </row>
    <row r="19" spans="1:14" hidden="1" x14ac:dyDescent="0.3">
      <c r="A19" t="s">
        <v>266</v>
      </c>
      <c r="B19" t="s">
        <v>13</v>
      </c>
      <c r="C19" t="s">
        <v>14</v>
      </c>
      <c r="D19" t="s">
        <v>29</v>
      </c>
      <c r="F19" t="s">
        <v>16</v>
      </c>
      <c r="G19" t="s">
        <v>20</v>
      </c>
      <c r="H19">
        <v>2450</v>
      </c>
      <c r="L19" t="s">
        <v>270</v>
      </c>
      <c r="M19" t="s">
        <v>18</v>
      </c>
      <c r="N19" t="s">
        <v>19</v>
      </c>
    </row>
    <row r="20" spans="1:14" hidden="1" x14ac:dyDescent="0.3">
      <c r="A20" t="s">
        <v>266</v>
      </c>
      <c r="B20" t="s">
        <v>13</v>
      </c>
      <c r="C20" t="s">
        <v>14</v>
      </c>
      <c r="D20" t="s">
        <v>29</v>
      </c>
      <c r="F20" t="s">
        <v>21</v>
      </c>
      <c r="G20" t="s">
        <v>20</v>
      </c>
      <c r="H20">
        <v>4900</v>
      </c>
      <c r="L20" t="s">
        <v>270</v>
      </c>
      <c r="M20" t="s">
        <v>18</v>
      </c>
      <c r="N20" t="s">
        <v>19</v>
      </c>
    </row>
    <row r="21" spans="1:14" hidden="1" x14ac:dyDescent="0.3">
      <c r="A21" t="s">
        <v>266</v>
      </c>
      <c r="B21" t="s">
        <v>13</v>
      </c>
      <c r="C21" t="s">
        <v>14</v>
      </c>
      <c r="D21" t="s">
        <v>30</v>
      </c>
      <c r="F21" t="s">
        <v>16</v>
      </c>
      <c r="G21" t="s">
        <v>20</v>
      </c>
      <c r="H21">
        <v>2450</v>
      </c>
      <c r="L21" t="s">
        <v>270</v>
      </c>
      <c r="M21" t="s">
        <v>18</v>
      </c>
      <c r="N21" t="s">
        <v>19</v>
      </c>
    </row>
    <row r="22" spans="1:14" hidden="1" x14ac:dyDescent="0.3">
      <c r="A22" t="s">
        <v>266</v>
      </c>
      <c r="B22" t="s">
        <v>13</v>
      </c>
      <c r="C22" t="s">
        <v>14</v>
      </c>
      <c r="D22" t="s">
        <v>30</v>
      </c>
      <c r="F22" t="s">
        <v>21</v>
      </c>
      <c r="G22" t="s">
        <v>20</v>
      </c>
      <c r="H22">
        <v>4900</v>
      </c>
      <c r="L22" t="s">
        <v>270</v>
      </c>
      <c r="M22" t="s">
        <v>18</v>
      </c>
      <c r="N22" t="s">
        <v>19</v>
      </c>
    </row>
    <row r="23" spans="1:14" hidden="1" x14ac:dyDescent="0.3">
      <c r="A23" t="s">
        <v>266</v>
      </c>
      <c r="B23" t="s">
        <v>13</v>
      </c>
      <c r="C23" t="s">
        <v>14</v>
      </c>
      <c r="D23" t="s">
        <v>31</v>
      </c>
      <c r="F23" t="s">
        <v>16</v>
      </c>
      <c r="G23" t="s">
        <v>20</v>
      </c>
      <c r="H23">
        <v>2450</v>
      </c>
      <c r="L23" t="s">
        <v>270</v>
      </c>
      <c r="M23" t="s">
        <v>18</v>
      </c>
      <c r="N23" t="s">
        <v>19</v>
      </c>
    </row>
    <row r="24" spans="1:14" hidden="1" x14ac:dyDescent="0.3">
      <c r="A24" t="s">
        <v>266</v>
      </c>
      <c r="B24" t="s">
        <v>13</v>
      </c>
      <c r="C24" t="s">
        <v>14</v>
      </c>
      <c r="D24" t="s">
        <v>32</v>
      </c>
      <c r="F24" t="s">
        <v>16</v>
      </c>
      <c r="G24" t="s">
        <v>20</v>
      </c>
      <c r="H24">
        <v>2450</v>
      </c>
      <c r="L24" t="s">
        <v>270</v>
      </c>
      <c r="M24" t="s">
        <v>18</v>
      </c>
      <c r="N24" t="s">
        <v>19</v>
      </c>
    </row>
    <row r="25" spans="1:14" hidden="1" x14ac:dyDescent="0.3">
      <c r="A25" t="s">
        <v>266</v>
      </c>
      <c r="B25" t="s">
        <v>13</v>
      </c>
      <c r="C25" t="s">
        <v>14</v>
      </c>
      <c r="D25" t="s">
        <v>33</v>
      </c>
      <c r="F25" t="s">
        <v>16</v>
      </c>
      <c r="G25" t="s">
        <v>17</v>
      </c>
      <c r="H25">
        <v>1690</v>
      </c>
      <c r="L25" t="s">
        <v>270</v>
      </c>
      <c r="M25" t="s">
        <v>18</v>
      </c>
      <c r="N25" t="s">
        <v>19</v>
      </c>
    </row>
    <row r="26" spans="1:14" hidden="1" x14ac:dyDescent="0.3">
      <c r="A26" t="s">
        <v>266</v>
      </c>
      <c r="B26" t="s">
        <v>13</v>
      </c>
      <c r="C26" t="s">
        <v>14</v>
      </c>
      <c r="D26" t="s">
        <v>33</v>
      </c>
      <c r="F26" t="s">
        <v>16</v>
      </c>
      <c r="G26" t="s">
        <v>20</v>
      </c>
      <c r="H26">
        <v>2350</v>
      </c>
      <c r="L26" t="s">
        <v>270</v>
      </c>
      <c r="M26" t="s">
        <v>18</v>
      </c>
      <c r="N26" t="s">
        <v>19</v>
      </c>
    </row>
    <row r="27" spans="1:14" hidden="1" x14ac:dyDescent="0.3">
      <c r="A27" t="s">
        <v>266</v>
      </c>
      <c r="B27" t="s">
        <v>13</v>
      </c>
      <c r="C27" t="s">
        <v>14</v>
      </c>
      <c r="D27" t="s">
        <v>33</v>
      </c>
      <c r="F27" t="s">
        <v>21</v>
      </c>
      <c r="G27" t="s">
        <v>17</v>
      </c>
      <c r="H27">
        <v>3380</v>
      </c>
      <c r="L27" t="s">
        <v>270</v>
      </c>
      <c r="M27" t="s">
        <v>18</v>
      </c>
      <c r="N27" t="s">
        <v>19</v>
      </c>
    </row>
    <row r="28" spans="1:14" hidden="1" x14ac:dyDescent="0.3">
      <c r="A28" t="s">
        <v>266</v>
      </c>
      <c r="B28" t="s">
        <v>13</v>
      </c>
      <c r="C28" t="s">
        <v>14</v>
      </c>
      <c r="D28" t="s">
        <v>33</v>
      </c>
      <c r="F28" t="s">
        <v>21</v>
      </c>
      <c r="G28" t="s">
        <v>20</v>
      </c>
      <c r="H28">
        <v>4700</v>
      </c>
      <c r="L28" t="s">
        <v>270</v>
      </c>
      <c r="M28" t="s">
        <v>18</v>
      </c>
      <c r="N28" t="s">
        <v>19</v>
      </c>
    </row>
    <row r="29" spans="1:14" hidden="1" x14ac:dyDescent="0.3">
      <c r="A29" t="s">
        <v>233</v>
      </c>
      <c r="B29" t="s">
        <v>13</v>
      </c>
      <c r="C29" t="s">
        <v>14</v>
      </c>
      <c r="D29" t="s">
        <v>34</v>
      </c>
      <c r="F29" t="s">
        <v>16</v>
      </c>
      <c r="G29" t="s">
        <v>17</v>
      </c>
      <c r="H29">
        <v>750</v>
      </c>
      <c r="L29" t="s">
        <v>269</v>
      </c>
      <c r="M29" t="s">
        <v>43</v>
      </c>
      <c r="N29" t="s">
        <v>19</v>
      </c>
    </row>
    <row r="30" spans="1:14" hidden="1" x14ac:dyDescent="0.3">
      <c r="A30" t="s">
        <v>266</v>
      </c>
      <c r="B30" t="s">
        <v>13</v>
      </c>
      <c r="C30" t="s">
        <v>14</v>
      </c>
      <c r="D30" t="s">
        <v>34</v>
      </c>
      <c r="F30" t="s">
        <v>16</v>
      </c>
      <c r="G30" t="s">
        <v>20</v>
      </c>
      <c r="H30">
        <v>1350</v>
      </c>
      <c r="L30" t="s">
        <v>270</v>
      </c>
      <c r="M30" t="s">
        <v>18</v>
      </c>
      <c r="N30" t="s">
        <v>19</v>
      </c>
    </row>
    <row r="31" spans="1:14" hidden="1" x14ac:dyDescent="0.3">
      <c r="A31" t="s">
        <v>233</v>
      </c>
      <c r="B31" t="s">
        <v>13</v>
      </c>
      <c r="C31" t="s">
        <v>14</v>
      </c>
      <c r="D31" t="s">
        <v>35</v>
      </c>
      <c r="F31" t="s">
        <v>16</v>
      </c>
      <c r="G31" t="s">
        <v>17</v>
      </c>
      <c r="H31">
        <v>750</v>
      </c>
      <c r="L31" t="s">
        <v>269</v>
      </c>
      <c r="M31" t="s">
        <v>43</v>
      </c>
      <c r="N31" t="s">
        <v>19</v>
      </c>
    </row>
    <row r="32" spans="1:14" hidden="1" x14ac:dyDescent="0.3">
      <c r="A32" t="s">
        <v>266</v>
      </c>
      <c r="B32" t="s">
        <v>13</v>
      </c>
      <c r="C32" t="s">
        <v>14</v>
      </c>
      <c r="D32" t="s">
        <v>36</v>
      </c>
      <c r="F32" t="s">
        <v>16</v>
      </c>
      <c r="G32" t="s">
        <v>17</v>
      </c>
      <c r="H32">
        <v>1550</v>
      </c>
      <c r="L32" t="s">
        <v>270</v>
      </c>
      <c r="M32" t="s">
        <v>18</v>
      </c>
      <c r="N32" t="s">
        <v>19</v>
      </c>
    </row>
    <row r="33" spans="1:14" hidden="1" x14ac:dyDescent="0.3">
      <c r="A33" t="s">
        <v>266</v>
      </c>
      <c r="B33" t="s">
        <v>13</v>
      </c>
      <c r="C33" t="s">
        <v>14</v>
      </c>
      <c r="D33" t="s">
        <v>37</v>
      </c>
      <c r="F33" t="s">
        <v>16</v>
      </c>
      <c r="G33" t="s">
        <v>17</v>
      </c>
      <c r="H33">
        <v>1550</v>
      </c>
      <c r="L33" t="s">
        <v>270</v>
      </c>
      <c r="M33" t="s">
        <v>18</v>
      </c>
      <c r="N33" t="s">
        <v>19</v>
      </c>
    </row>
    <row r="34" spans="1:14" hidden="1" x14ac:dyDescent="0.3">
      <c r="A34" t="s">
        <v>266</v>
      </c>
      <c r="B34" t="s">
        <v>13</v>
      </c>
      <c r="C34" t="s">
        <v>14</v>
      </c>
      <c r="D34" t="s">
        <v>37</v>
      </c>
      <c r="F34" t="s">
        <v>21</v>
      </c>
      <c r="G34" t="s">
        <v>17</v>
      </c>
      <c r="H34">
        <v>3100</v>
      </c>
      <c r="L34" t="s">
        <v>270</v>
      </c>
      <c r="M34" t="s">
        <v>18</v>
      </c>
      <c r="N34" t="s">
        <v>19</v>
      </c>
    </row>
    <row r="35" spans="1:14" hidden="1" x14ac:dyDescent="0.3">
      <c r="A35" t="s">
        <v>266</v>
      </c>
      <c r="B35" t="s">
        <v>13</v>
      </c>
      <c r="C35" t="s">
        <v>14</v>
      </c>
      <c r="D35" t="s">
        <v>38</v>
      </c>
      <c r="F35" t="s">
        <v>16</v>
      </c>
      <c r="G35" t="s">
        <v>39</v>
      </c>
      <c r="H35">
        <v>1350</v>
      </c>
      <c r="L35" t="s">
        <v>270</v>
      </c>
      <c r="M35" t="s">
        <v>18</v>
      </c>
      <c r="N35" t="s">
        <v>19</v>
      </c>
    </row>
    <row r="36" spans="1:14" hidden="1" x14ac:dyDescent="0.3">
      <c r="A36" t="s">
        <v>266</v>
      </c>
      <c r="B36" t="s">
        <v>13</v>
      </c>
      <c r="C36" t="s">
        <v>14</v>
      </c>
      <c r="D36" t="s">
        <v>38</v>
      </c>
      <c r="F36" t="s">
        <v>21</v>
      </c>
      <c r="G36" t="s">
        <v>39</v>
      </c>
      <c r="H36">
        <v>2250</v>
      </c>
      <c r="L36" t="s">
        <v>270</v>
      </c>
      <c r="M36" t="s">
        <v>18</v>
      </c>
      <c r="N36" t="s">
        <v>19</v>
      </c>
    </row>
    <row r="37" spans="1:14" hidden="1" x14ac:dyDescent="0.3">
      <c r="A37" t="s">
        <v>266</v>
      </c>
      <c r="B37" t="s">
        <v>13</v>
      </c>
      <c r="C37" t="s">
        <v>14</v>
      </c>
      <c r="D37" t="s">
        <v>40</v>
      </c>
      <c r="F37" t="s">
        <v>16</v>
      </c>
      <c r="G37" t="s">
        <v>17</v>
      </c>
      <c r="H37">
        <v>1550</v>
      </c>
      <c r="L37" t="s">
        <v>270</v>
      </c>
      <c r="M37" t="s">
        <v>18</v>
      </c>
      <c r="N37" t="s">
        <v>19</v>
      </c>
    </row>
    <row r="38" spans="1:14" hidden="1" x14ac:dyDescent="0.3">
      <c r="A38" t="s">
        <v>266</v>
      </c>
      <c r="B38" t="s">
        <v>13</v>
      </c>
      <c r="C38" t="s">
        <v>14</v>
      </c>
      <c r="D38" t="s">
        <v>40</v>
      </c>
      <c r="F38" t="s">
        <v>16</v>
      </c>
      <c r="G38" t="s">
        <v>20</v>
      </c>
      <c r="H38">
        <v>1840</v>
      </c>
      <c r="L38" t="s">
        <v>270</v>
      </c>
      <c r="M38" t="s">
        <v>18</v>
      </c>
      <c r="N38" t="s">
        <v>19</v>
      </c>
    </row>
    <row r="39" spans="1:14" hidden="1" x14ac:dyDescent="0.3">
      <c r="A39" t="s">
        <v>233</v>
      </c>
      <c r="B39" t="s">
        <v>41</v>
      </c>
      <c r="C39" t="s">
        <v>42</v>
      </c>
      <c r="D39" t="s">
        <v>41</v>
      </c>
      <c r="F39" t="s">
        <v>16</v>
      </c>
      <c r="G39" t="s">
        <v>17</v>
      </c>
      <c r="H39">
        <v>1290</v>
      </c>
      <c r="L39" t="s">
        <v>269</v>
      </c>
      <c r="M39" t="s">
        <v>43</v>
      </c>
      <c r="N39" t="s">
        <v>19</v>
      </c>
    </row>
    <row r="40" spans="1:14" hidden="1" x14ac:dyDescent="0.3">
      <c r="A40" t="s">
        <v>233</v>
      </c>
      <c r="B40" t="s">
        <v>41</v>
      </c>
      <c r="C40" t="s">
        <v>42</v>
      </c>
      <c r="D40" t="s">
        <v>41</v>
      </c>
      <c r="F40" t="s">
        <v>21</v>
      </c>
      <c r="G40" t="s">
        <v>17</v>
      </c>
      <c r="H40">
        <v>2580</v>
      </c>
      <c r="L40" t="s">
        <v>269</v>
      </c>
      <c r="M40" t="s">
        <v>43</v>
      </c>
      <c r="N40" t="s">
        <v>19</v>
      </c>
    </row>
    <row r="41" spans="1:14" hidden="1" x14ac:dyDescent="0.3">
      <c r="A41" t="s">
        <v>233</v>
      </c>
      <c r="B41" t="s">
        <v>45</v>
      </c>
      <c r="C41" t="s">
        <v>42</v>
      </c>
      <c r="D41" t="s">
        <v>45</v>
      </c>
      <c r="F41" t="s">
        <v>16</v>
      </c>
      <c r="G41" t="s">
        <v>17</v>
      </c>
      <c r="H41">
        <v>1550</v>
      </c>
      <c r="L41" t="s">
        <v>269</v>
      </c>
      <c r="M41" t="s">
        <v>43</v>
      </c>
      <c r="N41" t="s">
        <v>19</v>
      </c>
    </row>
    <row r="42" spans="1:14" hidden="1" x14ac:dyDescent="0.3">
      <c r="A42" t="s">
        <v>233</v>
      </c>
      <c r="B42" t="s">
        <v>45</v>
      </c>
      <c r="C42" t="s">
        <v>42</v>
      </c>
      <c r="D42" t="s">
        <v>45</v>
      </c>
      <c r="F42" t="s">
        <v>21</v>
      </c>
      <c r="G42" t="s">
        <v>17</v>
      </c>
      <c r="H42">
        <v>3100</v>
      </c>
      <c r="L42" t="s">
        <v>269</v>
      </c>
      <c r="M42" t="s">
        <v>43</v>
      </c>
      <c r="N42" t="s">
        <v>19</v>
      </c>
    </row>
    <row r="43" spans="1:14" hidden="1" x14ac:dyDescent="0.3">
      <c r="A43" t="s">
        <v>266</v>
      </c>
      <c r="B43" t="s">
        <v>46</v>
      </c>
      <c r="C43" t="s">
        <v>46</v>
      </c>
      <c r="D43" t="s">
        <v>47</v>
      </c>
      <c r="F43" t="s">
        <v>16</v>
      </c>
      <c r="G43" t="s">
        <v>17</v>
      </c>
      <c r="H43">
        <v>1290</v>
      </c>
      <c r="L43" t="s">
        <v>270</v>
      </c>
      <c r="M43" t="s">
        <v>18</v>
      </c>
      <c r="N43" t="s">
        <v>19</v>
      </c>
    </row>
    <row r="44" spans="1:14" hidden="1" x14ac:dyDescent="0.3">
      <c r="A44" t="s">
        <v>266</v>
      </c>
      <c r="B44" t="s">
        <v>46</v>
      </c>
      <c r="C44" t="s">
        <v>46</v>
      </c>
      <c r="D44" t="s">
        <v>47</v>
      </c>
      <c r="F44" t="s">
        <v>21</v>
      </c>
      <c r="G44" t="s">
        <v>17</v>
      </c>
      <c r="H44">
        <v>2580</v>
      </c>
      <c r="L44" t="s">
        <v>270</v>
      </c>
      <c r="M44" t="s">
        <v>18</v>
      </c>
      <c r="N44" t="s">
        <v>19</v>
      </c>
    </row>
    <row r="45" spans="1:14" hidden="1" x14ac:dyDescent="0.3">
      <c r="A45" t="s">
        <v>233</v>
      </c>
      <c r="B45" t="s">
        <v>13</v>
      </c>
      <c r="C45" t="s">
        <v>14</v>
      </c>
      <c r="D45" t="s">
        <v>48</v>
      </c>
      <c r="F45" t="s">
        <v>16</v>
      </c>
      <c r="G45" t="s">
        <v>17</v>
      </c>
      <c r="H45">
        <v>990</v>
      </c>
      <c r="L45" t="s">
        <v>269</v>
      </c>
      <c r="M45" t="s">
        <v>43</v>
      </c>
      <c r="N45" t="s">
        <v>19</v>
      </c>
    </row>
    <row r="46" spans="1:14" hidden="1" x14ac:dyDescent="0.3">
      <c r="A46" t="s">
        <v>233</v>
      </c>
      <c r="B46" t="s">
        <v>49</v>
      </c>
      <c r="C46" t="s">
        <v>50</v>
      </c>
      <c r="D46" t="s">
        <v>51</v>
      </c>
      <c r="F46" t="s">
        <v>16</v>
      </c>
      <c r="G46" t="s">
        <v>17</v>
      </c>
      <c r="H46">
        <v>390</v>
      </c>
      <c r="L46" t="s">
        <v>52</v>
      </c>
      <c r="M46" t="s">
        <v>43</v>
      </c>
      <c r="N46" t="s">
        <v>271</v>
      </c>
    </row>
    <row r="47" spans="1:14" hidden="1" x14ac:dyDescent="0.3">
      <c r="A47" t="s">
        <v>233</v>
      </c>
      <c r="B47" t="s">
        <v>49</v>
      </c>
      <c r="C47" t="s">
        <v>50</v>
      </c>
      <c r="D47" t="s">
        <v>54</v>
      </c>
      <c r="F47" t="s">
        <v>16</v>
      </c>
      <c r="G47" t="s">
        <v>55</v>
      </c>
      <c r="H47">
        <v>590</v>
      </c>
      <c r="L47" t="s">
        <v>52</v>
      </c>
      <c r="M47" t="s">
        <v>43</v>
      </c>
      <c r="N47" t="s">
        <v>271</v>
      </c>
    </row>
    <row r="48" spans="1:14" hidden="1" x14ac:dyDescent="0.3">
      <c r="A48" t="s">
        <v>233</v>
      </c>
      <c r="B48" t="s">
        <v>49</v>
      </c>
      <c r="C48" t="s">
        <v>50</v>
      </c>
      <c r="D48" t="s">
        <v>56</v>
      </c>
      <c r="F48" t="s">
        <v>16</v>
      </c>
      <c r="G48" t="s">
        <v>17</v>
      </c>
      <c r="H48">
        <v>370</v>
      </c>
      <c r="L48" t="s">
        <v>52</v>
      </c>
      <c r="M48" t="s">
        <v>43</v>
      </c>
      <c r="N48" t="s">
        <v>271</v>
      </c>
    </row>
    <row r="49" spans="1:14" hidden="1" x14ac:dyDescent="0.3">
      <c r="A49" t="s">
        <v>233</v>
      </c>
      <c r="B49" t="s">
        <v>49</v>
      </c>
      <c r="C49" t="s">
        <v>50</v>
      </c>
      <c r="D49" t="s">
        <v>57</v>
      </c>
      <c r="F49" t="s">
        <v>16</v>
      </c>
      <c r="G49" t="s">
        <v>55</v>
      </c>
      <c r="H49">
        <v>570</v>
      </c>
      <c r="L49" t="s">
        <v>52</v>
      </c>
      <c r="M49" t="s">
        <v>43</v>
      </c>
      <c r="N49" t="s">
        <v>271</v>
      </c>
    </row>
    <row r="50" spans="1:14" hidden="1" x14ac:dyDescent="0.3">
      <c r="A50" t="s">
        <v>233</v>
      </c>
      <c r="B50" t="s">
        <v>49</v>
      </c>
      <c r="C50" t="s">
        <v>50</v>
      </c>
      <c r="D50" t="s">
        <v>58</v>
      </c>
      <c r="F50" t="s">
        <v>16</v>
      </c>
      <c r="G50" t="s">
        <v>17</v>
      </c>
      <c r="H50">
        <v>350</v>
      </c>
      <c r="L50" t="s">
        <v>52</v>
      </c>
      <c r="M50" t="s">
        <v>43</v>
      </c>
      <c r="N50" t="s">
        <v>271</v>
      </c>
    </row>
    <row r="51" spans="1:14" hidden="1" x14ac:dyDescent="0.3">
      <c r="A51" t="s">
        <v>233</v>
      </c>
      <c r="B51" t="s">
        <v>49</v>
      </c>
      <c r="C51" t="s">
        <v>59</v>
      </c>
      <c r="D51" t="s">
        <v>60</v>
      </c>
      <c r="F51" t="s">
        <v>16</v>
      </c>
      <c r="G51" t="s">
        <v>61</v>
      </c>
      <c r="H51">
        <v>580</v>
      </c>
      <c r="I51" t="s">
        <v>62</v>
      </c>
      <c r="L51" t="s">
        <v>52</v>
      </c>
      <c r="M51" t="s">
        <v>43</v>
      </c>
      <c r="N51" t="s">
        <v>271</v>
      </c>
    </row>
    <row r="52" spans="1:14" hidden="1" x14ac:dyDescent="0.3">
      <c r="A52" t="s">
        <v>233</v>
      </c>
      <c r="B52" t="s">
        <v>49</v>
      </c>
      <c r="C52" t="s">
        <v>59</v>
      </c>
      <c r="D52" t="s">
        <v>63</v>
      </c>
      <c r="F52" t="s">
        <v>16</v>
      </c>
      <c r="G52" t="s">
        <v>20</v>
      </c>
      <c r="H52">
        <v>690</v>
      </c>
      <c r="I52" t="s">
        <v>62</v>
      </c>
      <c r="L52" t="s">
        <v>52</v>
      </c>
      <c r="M52" t="s">
        <v>43</v>
      </c>
      <c r="N52" t="s">
        <v>271</v>
      </c>
    </row>
    <row r="53" spans="1:14" hidden="1" x14ac:dyDescent="0.3">
      <c r="A53" t="s">
        <v>233</v>
      </c>
      <c r="B53" t="s">
        <v>49</v>
      </c>
      <c r="C53" t="s">
        <v>59</v>
      </c>
      <c r="D53" t="s">
        <v>64</v>
      </c>
      <c r="F53" t="s">
        <v>16</v>
      </c>
      <c r="G53" t="s">
        <v>65</v>
      </c>
      <c r="H53">
        <v>490</v>
      </c>
      <c r="I53" t="s">
        <v>62</v>
      </c>
      <c r="L53" t="s">
        <v>52</v>
      </c>
      <c r="M53" t="s">
        <v>43</v>
      </c>
      <c r="N53" t="s">
        <v>271</v>
      </c>
    </row>
    <row r="54" spans="1:14" hidden="1" x14ac:dyDescent="0.3">
      <c r="A54" t="s">
        <v>233</v>
      </c>
      <c r="B54" t="s">
        <v>49</v>
      </c>
      <c r="C54" t="s">
        <v>66</v>
      </c>
      <c r="D54" t="s">
        <v>67</v>
      </c>
      <c r="F54" t="s">
        <v>68</v>
      </c>
      <c r="G54" t="s">
        <v>69</v>
      </c>
      <c r="H54">
        <v>120</v>
      </c>
      <c r="L54" t="s">
        <v>52</v>
      </c>
      <c r="M54" t="s">
        <v>43</v>
      </c>
      <c r="N54" t="s">
        <v>271</v>
      </c>
    </row>
    <row r="55" spans="1:14" hidden="1" x14ac:dyDescent="0.3">
      <c r="A55" t="s">
        <v>233</v>
      </c>
      <c r="B55" t="s">
        <v>49</v>
      </c>
      <c r="C55" t="s">
        <v>66</v>
      </c>
      <c r="D55" t="s">
        <v>67</v>
      </c>
      <c r="F55" t="s">
        <v>70</v>
      </c>
      <c r="G55" t="s">
        <v>69</v>
      </c>
      <c r="H55">
        <v>150</v>
      </c>
      <c r="L55" t="s">
        <v>52</v>
      </c>
      <c r="M55" t="s">
        <v>43</v>
      </c>
      <c r="N55" t="s">
        <v>271</v>
      </c>
    </row>
    <row r="56" spans="1:14" hidden="1" x14ac:dyDescent="0.3">
      <c r="A56" t="s">
        <v>233</v>
      </c>
      <c r="B56" t="s">
        <v>49</v>
      </c>
      <c r="C56" t="s">
        <v>71</v>
      </c>
      <c r="D56" t="s">
        <v>72</v>
      </c>
      <c r="F56" t="s">
        <v>16</v>
      </c>
      <c r="G56" t="s">
        <v>28</v>
      </c>
      <c r="H56">
        <v>180</v>
      </c>
      <c r="L56" t="s">
        <v>52</v>
      </c>
      <c r="M56" t="s">
        <v>43</v>
      </c>
      <c r="N56" t="s">
        <v>271</v>
      </c>
    </row>
    <row r="57" spans="1:14" hidden="1" x14ac:dyDescent="0.3">
      <c r="A57" t="s">
        <v>233</v>
      </c>
      <c r="B57" t="s">
        <v>49</v>
      </c>
      <c r="C57" t="s">
        <v>71</v>
      </c>
      <c r="D57" t="s">
        <v>73</v>
      </c>
      <c r="F57" t="s">
        <v>16</v>
      </c>
      <c r="G57" t="s">
        <v>28</v>
      </c>
      <c r="H57">
        <v>140</v>
      </c>
      <c r="L57" t="s">
        <v>52</v>
      </c>
      <c r="M57" t="s">
        <v>43</v>
      </c>
      <c r="N57" t="s">
        <v>271</v>
      </c>
    </row>
    <row r="58" spans="1:14" hidden="1" x14ac:dyDescent="0.3">
      <c r="A58" t="s">
        <v>233</v>
      </c>
      <c r="B58" t="s">
        <v>49</v>
      </c>
      <c r="C58" t="s">
        <v>71</v>
      </c>
      <c r="D58" t="s">
        <v>74</v>
      </c>
      <c r="F58" t="s">
        <v>16</v>
      </c>
      <c r="G58" t="s">
        <v>65</v>
      </c>
      <c r="H58">
        <v>195</v>
      </c>
      <c r="L58" t="s">
        <v>52</v>
      </c>
      <c r="M58" t="s">
        <v>43</v>
      </c>
      <c r="N58" t="s">
        <v>271</v>
      </c>
    </row>
    <row r="59" spans="1:14" hidden="1" x14ac:dyDescent="0.3">
      <c r="A59" t="s">
        <v>233</v>
      </c>
      <c r="B59" t="s">
        <v>49</v>
      </c>
      <c r="C59" t="s">
        <v>71</v>
      </c>
      <c r="D59" t="s">
        <v>75</v>
      </c>
      <c r="F59" t="s">
        <v>16</v>
      </c>
      <c r="G59" t="s">
        <v>65</v>
      </c>
      <c r="H59">
        <v>290</v>
      </c>
      <c r="L59" t="s">
        <v>52</v>
      </c>
      <c r="M59" t="s">
        <v>43</v>
      </c>
      <c r="N59" t="s">
        <v>271</v>
      </c>
    </row>
    <row r="60" spans="1:14" hidden="1" x14ac:dyDescent="0.3">
      <c r="A60" t="s">
        <v>233</v>
      </c>
      <c r="B60" t="s">
        <v>49</v>
      </c>
      <c r="C60" t="s">
        <v>76</v>
      </c>
      <c r="D60" t="s">
        <v>77</v>
      </c>
      <c r="F60" t="s">
        <v>78</v>
      </c>
      <c r="G60" t="s">
        <v>20</v>
      </c>
      <c r="H60">
        <v>550</v>
      </c>
      <c r="L60" t="s">
        <v>52</v>
      </c>
      <c r="M60" t="s">
        <v>43</v>
      </c>
      <c r="N60" t="s">
        <v>271</v>
      </c>
    </row>
    <row r="61" spans="1:14" hidden="1" x14ac:dyDescent="0.3">
      <c r="A61" t="s">
        <v>233</v>
      </c>
      <c r="B61" t="s">
        <v>49</v>
      </c>
      <c r="C61" t="s">
        <v>76</v>
      </c>
      <c r="D61" t="s">
        <v>79</v>
      </c>
      <c r="F61" t="s">
        <v>80</v>
      </c>
      <c r="G61" t="s">
        <v>81</v>
      </c>
      <c r="H61">
        <v>650</v>
      </c>
      <c r="L61" t="s">
        <v>52</v>
      </c>
      <c r="M61" t="s">
        <v>43</v>
      </c>
      <c r="N61" t="s">
        <v>271</v>
      </c>
    </row>
    <row r="62" spans="1:14" hidden="1" x14ac:dyDescent="0.3">
      <c r="A62" t="s">
        <v>233</v>
      </c>
      <c r="B62" t="s">
        <v>49</v>
      </c>
      <c r="C62" t="s">
        <v>76</v>
      </c>
      <c r="D62" t="s">
        <v>82</v>
      </c>
      <c r="F62" t="s">
        <v>16</v>
      </c>
      <c r="H62">
        <v>120</v>
      </c>
      <c r="L62" t="s">
        <v>52</v>
      </c>
      <c r="M62" t="s">
        <v>43</v>
      </c>
      <c r="N62" t="s">
        <v>271</v>
      </c>
    </row>
    <row r="63" spans="1:14" hidden="1" x14ac:dyDescent="0.3">
      <c r="A63" t="s">
        <v>233</v>
      </c>
      <c r="B63" t="s">
        <v>49</v>
      </c>
      <c r="C63" t="s">
        <v>76</v>
      </c>
      <c r="D63" t="s">
        <v>83</v>
      </c>
      <c r="F63" t="s">
        <v>16</v>
      </c>
      <c r="G63" t="s">
        <v>17</v>
      </c>
      <c r="H63">
        <v>540</v>
      </c>
      <c r="L63" t="s">
        <v>52</v>
      </c>
      <c r="M63" t="s">
        <v>43</v>
      </c>
      <c r="N63" t="s">
        <v>271</v>
      </c>
    </row>
    <row r="64" spans="1:14" hidden="1" x14ac:dyDescent="0.3">
      <c r="A64" t="s">
        <v>233</v>
      </c>
      <c r="B64" t="s">
        <v>49</v>
      </c>
      <c r="C64" t="s">
        <v>76</v>
      </c>
      <c r="D64" t="s">
        <v>84</v>
      </c>
      <c r="F64" t="s">
        <v>16</v>
      </c>
      <c r="G64" t="s">
        <v>55</v>
      </c>
      <c r="H64">
        <v>580</v>
      </c>
      <c r="L64" t="s">
        <v>52</v>
      </c>
      <c r="M64" t="s">
        <v>43</v>
      </c>
      <c r="N64" t="s">
        <v>271</v>
      </c>
    </row>
    <row r="65" spans="1:14" hidden="1" x14ac:dyDescent="0.3">
      <c r="A65" t="s">
        <v>233</v>
      </c>
      <c r="B65" t="s">
        <v>49</v>
      </c>
      <c r="C65" t="s">
        <v>76</v>
      </c>
      <c r="D65" t="s">
        <v>85</v>
      </c>
      <c r="F65" t="s">
        <v>16</v>
      </c>
      <c r="G65" t="s">
        <v>28</v>
      </c>
      <c r="H65">
        <v>500</v>
      </c>
      <c r="L65" t="s">
        <v>52</v>
      </c>
      <c r="M65" t="s">
        <v>43</v>
      </c>
      <c r="N65" t="s">
        <v>271</v>
      </c>
    </row>
    <row r="66" spans="1:14" hidden="1" x14ac:dyDescent="0.3">
      <c r="A66" t="s">
        <v>233</v>
      </c>
      <c r="B66" t="s">
        <v>49</v>
      </c>
      <c r="C66" t="s">
        <v>76</v>
      </c>
      <c r="D66" t="s">
        <v>86</v>
      </c>
      <c r="F66" t="s">
        <v>16</v>
      </c>
      <c r="H66">
        <v>100</v>
      </c>
      <c r="L66" t="s">
        <v>52</v>
      </c>
      <c r="M66" t="s">
        <v>43</v>
      </c>
      <c r="N66" t="s">
        <v>271</v>
      </c>
    </row>
    <row r="67" spans="1:14" hidden="1" x14ac:dyDescent="0.3">
      <c r="A67" t="s">
        <v>233</v>
      </c>
      <c r="B67" t="s">
        <v>49</v>
      </c>
      <c r="C67" t="s">
        <v>76</v>
      </c>
      <c r="D67" t="s">
        <v>87</v>
      </c>
      <c r="F67" t="s">
        <v>16</v>
      </c>
      <c r="H67">
        <v>60</v>
      </c>
      <c r="L67" t="s">
        <v>52</v>
      </c>
      <c r="M67" t="s">
        <v>43</v>
      </c>
      <c r="N67" t="s">
        <v>271</v>
      </c>
    </row>
    <row r="68" spans="1:14" hidden="1" x14ac:dyDescent="0.3">
      <c r="A68" t="s">
        <v>233</v>
      </c>
      <c r="B68" t="s">
        <v>49</v>
      </c>
      <c r="C68" t="s">
        <v>76</v>
      </c>
      <c r="D68" t="s">
        <v>88</v>
      </c>
      <c r="F68" t="s">
        <v>16</v>
      </c>
      <c r="G68" t="s">
        <v>89</v>
      </c>
      <c r="H68">
        <v>80</v>
      </c>
      <c r="L68" t="s">
        <v>52</v>
      </c>
      <c r="M68" t="s">
        <v>43</v>
      </c>
      <c r="N68" t="s">
        <v>271</v>
      </c>
    </row>
    <row r="69" spans="1:14" hidden="1" x14ac:dyDescent="0.3">
      <c r="A69" t="s">
        <v>233</v>
      </c>
      <c r="B69" t="s">
        <v>49</v>
      </c>
      <c r="C69" t="s">
        <v>76</v>
      </c>
      <c r="D69" t="s">
        <v>90</v>
      </c>
      <c r="F69" t="s">
        <v>16</v>
      </c>
      <c r="H69">
        <v>70</v>
      </c>
      <c r="L69" t="s">
        <v>52</v>
      </c>
      <c r="M69" t="s">
        <v>43</v>
      </c>
      <c r="N69" t="s">
        <v>271</v>
      </c>
    </row>
    <row r="70" spans="1:14" hidden="1" x14ac:dyDescent="0.3">
      <c r="A70" t="s">
        <v>233</v>
      </c>
      <c r="B70" t="s">
        <v>49</v>
      </c>
      <c r="C70" t="s">
        <v>91</v>
      </c>
      <c r="D70" t="s">
        <v>92</v>
      </c>
      <c r="F70" t="s">
        <v>93</v>
      </c>
      <c r="G70" t="s">
        <v>94</v>
      </c>
      <c r="H70">
        <v>695</v>
      </c>
      <c r="L70" t="s">
        <v>52</v>
      </c>
      <c r="M70" t="s">
        <v>43</v>
      </c>
      <c r="N70" t="s">
        <v>271</v>
      </c>
    </row>
    <row r="71" spans="1:14" hidden="1" x14ac:dyDescent="0.3">
      <c r="A71" t="s">
        <v>233</v>
      </c>
      <c r="B71" t="s">
        <v>49</v>
      </c>
      <c r="C71" t="s">
        <v>91</v>
      </c>
      <c r="D71" t="s">
        <v>92</v>
      </c>
      <c r="F71" t="s">
        <v>95</v>
      </c>
      <c r="G71" t="s">
        <v>96</v>
      </c>
      <c r="H71">
        <v>620</v>
      </c>
      <c r="L71" t="s">
        <v>52</v>
      </c>
      <c r="M71" t="s">
        <v>43</v>
      </c>
      <c r="N71" t="s">
        <v>271</v>
      </c>
    </row>
    <row r="72" spans="1:14" hidden="1" x14ac:dyDescent="0.3">
      <c r="A72" t="s">
        <v>233</v>
      </c>
      <c r="B72" t="s">
        <v>49</v>
      </c>
      <c r="C72" t="s">
        <v>97</v>
      </c>
      <c r="D72" t="s">
        <v>98</v>
      </c>
      <c r="F72" t="s">
        <v>16</v>
      </c>
      <c r="G72" t="s">
        <v>89</v>
      </c>
      <c r="H72">
        <v>110</v>
      </c>
      <c r="L72" t="s">
        <v>52</v>
      </c>
      <c r="M72" t="s">
        <v>43</v>
      </c>
      <c r="N72" t="s">
        <v>271</v>
      </c>
    </row>
    <row r="73" spans="1:14" hidden="1" x14ac:dyDescent="0.3">
      <c r="B73" t="s">
        <v>49</v>
      </c>
      <c r="C73" t="s">
        <v>97</v>
      </c>
      <c r="D73" t="s">
        <v>99</v>
      </c>
      <c r="E73" t="s">
        <v>268</v>
      </c>
      <c r="F73" t="s">
        <v>68</v>
      </c>
      <c r="H73">
        <v>100</v>
      </c>
      <c r="L73" t="s">
        <v>52</v>
      </c>
      <c r="M73" t="s">
        <v>18</v>
      </c>
      <c r="N73" t="s">
        <v>53</v>
      </c>
    </row>
    <row r="74" spans="1:14" hidden="1" x14ac:dyDescent="0.3">
      <c r="B74" t="s">
        <v>49</v>
      </c>
      <c r="C74" t="s">
        <v>97</v>
      </c>
      <c r="D74" t="s">
        <v>99</v>
      </c>
      <c r="E74" t="s">
        <v>268</v>
      </c>
      <c r="F74" t="s">
        <v>70</v>
      </c>
      <c r="H74">
        <v>150</v>
      </c>
      <c r="L74" t="s">
        <v>52</v>
      </c>
      <c r="M74" t="s">
        <v>18</v>
      </c>
      <c r="N74" t="s">
        <v>53</v>
      </c>
    </row>
    <row r="75" spans="1:14" hidden="1" x14ac:dyDescent="0.3">
      <c r="A75" t="s">
        <v>233</v>
      </c>
      <c r="B75" t="s">
        <v>49</v>
      </c>
      <c r="C75" t="s">
        <v>97</v>
      </c>
      <c r="D75" t="s">
        <v>100</v>
      </c>
      <c r="F75" t="s">
        <v>68</v>
      </c>
      <c r="G75" t="s">
        <v>89</v>
      </c>
      <c r="H75">
        <v>100</v>
      </c>
      <c r="L75" t="s">
        <v>52</v>
      </c>
      <c r="M75" t="s">
        <v>43</v>
      </c>
      <c r="N75" t="s">
        <v>271</v>
      </c>
    </row>
    <row r="76" spans="1:14" hidden="1" x14ac:dyDescent="0.3">
      <c r="A76" t="s">
        <v>233</v>
      </c>
      <c r="B76" t="s">
        <v>49</v>
      </c>
      <c r="C76" t="s">
        <v>97</v>
      </c>
      <c r="D76" t="s">
        <v>100</v>
      </c>
      <c r="F76" t="s">
        <v>70</v>
      </c>
      <c r="G76" t="s">
        <v>89</v>
      </c>
      <c r="H76">
        <v>130</v>
      </c>
      <c r="L76" t="s">
        <v>52</v>
      </c>
      <c r="M76" t="s">
        <v>43</v>
      </c>
      <c r="N76" t="s">
        <v>271</v>
      </c>
    </row>
    <row r="77" spans="1:14" hidden="1" x14ac:dyDescent="0.3">
      <c r="A77" t="s">
        <v>233</v>
      </c>
      <c r="B77" t="s">
        <v>49</v>
      </c>
      <c r="C77" t="s">
        <v>101</v>
      </c>
      <c r="D77" t="s">
        <v>102</v>
      </c>
      <c r="F77" t="s">
        <v>16</v>
      </c>
      <c r="G77" t="s">
        <v>28</v>
      </c>
      <c r="H77">
        <v>70</v>
      </c>
      <c r="L77" t="s">
        <v>52</v>
      </c>
      <c r="M77" t="s">
        <v>43</v>
      </c>
      <c r="N77" t="s">
        <v>271</v>
      </c>
    </row>
    <row r="78" spans="1:14" hidden="1" x14ac:dyDescent="0.3">
      <c r="A78" t="s">
        <v>233</v>
      </c>
      <c r="B78" t="s">
        <v>49</v>
      </c>
      <c r="C78" t="s">
        <v>101</v>
      </c>
      <c r="D78" t="s">
        <v>103</v>
      </c>
      <c r="F78" t="s">
        <v>16</v>
      </c>
      <c r="G78" t="s">
        <v>104</v>
      </c>
      <c r="H78">
        <v>70</v>
      </c>
      <c r="L78" t="s">
        <v>52</v>
      </c>
      <c r="M78" t="s">
        <v>43</v>
      </c>
      <c r="N78" t="s">
        <v>271</v>
      </c>
    </row>
    <row r="79" spans="1:14" hidden="1" x14ac:dyDescent="0.3">
      <c r="A79" t="s">
        <v>233</v>
      </c>
      <c r="B79" t="s">
        <v>49</v>
      </c>
      <c r="C79" t="s">
        <v>101</v>
      </c>
      <c r="D79" t="s">
        <v>105</v>
      </c>
      <c r="F79" t="s">
        <v>16</v>
      </c>
      <c r="G79" t="s">
        <v>17</v>
      </c>
      <c r="H79">
        <v>90</v>
      </c>
      <c r="L79" t="s">
        <v>52</v>
      </c>
      <c r="M79" t="s">
        <v>43</v>
      </c>
      <c r="N79" t="s">
        <v>271</v>
      </c>
    </row>
    <row r="80" spans="1:14" hidden="1" x14ac:dyDescent="0.3">
      <c r="A80" t="s">
        <v>233</v>
      </c>
      <c r="B80" t="s">
        <v>49</v>
      </c>
      <c r="C80" t="s">
        <v>101</v>
      </c>
      <c r="D80" t="s">
        <v>106</v>
      </c>
      <c r="F80" t="s">
        <v>16</v>
      </c>
      <c r="G80" t="s">
        <v>17</v>
      </c>
      <c r="H80">
        <v>120</v>
      </c>
      <c r="L80" t="s">
        <v>52</v>
      </c>
      <c r="M80" t="s">
        <v>43</v>
      </c>
      <c r="N80" t="s">
        <v>271</v>
      </c>
    </row>
    <row r="81" spans="1:14" hidden="1" x14ac:dyDescent="0.3">
      <c r="A81" t="s">
        <v>233</v>
      </c>
      <c r="B81" t="s">
        <v>49</v>
      </c>
      <c r="C81" t="s">
        <v>101</v>
      </c>
      <c r="D81" t="s">
        <v>107</v>
      </c>
      <c r="F81" t="s">
        <v>16</v>
      </c>
      <c r="G81" t="s">
        <v>17</v>
      </c>
      <c r="H81">
        <v>140</v>
      </c>
      <c r="L81" t="s">
        <v>52</v>
      </c>
      <c r="M81" t="s">
        <v>43</v>
      </c>
      <c r="N81" t="s">
        <v>271</v>
      </c>
    </row>
    <row r="82" spans="1:14" hidden="1" x14ac:dyDescent="0.3">
      <c r="A82" t="s">
        <v>233</v>
      </c>
      <c r="B82" t="s">
        <v>49</v>
      </c>
      <c r="C82" t="s">
        <v>101</v>
      </c>
      <c r="D82" t="s">
        <v>108</v>
      </c>
      <c r="F82" t="s">
        <v>16</v>
      </c>
      <c r="G82" t="s">
        <v>55</v>
      </c>
      <c r="H82">
        <v>160</v>
      </c>
      <c r="L82" t="s">
        <v>52</v>
      </c>
      <c r="M82" t="s">
        <v>43</v>
      </c>
      <c r="N82" t="s">
        <v>271</v>
      </c>
    </row>
    <row r="83" spans="1:14" hidden="1" x14ac:dyDescent="0.3">
      <c r="A83" t="s">
        <v>233</v>
      </c>
      <c r="B83" t="s">
        <v>49</v>
      </c>
      <c r="C83" t="s">
        <v>109</v>
      </c>
      <c r="D83" t="s">
        <v>110</v>
      </c>
      <c r="F83" t="s">
        <v>16</v>
      </c>
      <c r="G83" t="s">
        <v>89</v>
      </c>
      <c r="H83">
        <v>210</v>
      </c>
      <c r="L83" t="s">
        <v>52</v>
      </c>
      <c r="M83" t="s">
        <v>43</v>
      </c>
      <c r="N83" t="s">
        <v>271</v>
      </c>
    </row>
    <row r="84" spans="1:14" hidden="1" x14ac:dyDescent="0.3">
      <c r="A84" t="s">
        <v>233</v>
      </c>
      <c r="B84" t="s">
        <v>49</v>
      </c>
      <c r="C84" t="s">
        <v>109</v>
      </c>
      <c r="D84" t="s">
        <v>111</v>
      </c>
      <c r="F84" t="s">
        <v>16</v>
      </c>
      <c r="G84" t="s">
        <v>61</v>
      </c>
      <c r="H84">
        <v>410</v>
      </c>
      <c r="L84" t="s">
        <v>52</v>
      </c>
      <c r="M84" t="s">
        <v>43</v>
      </c>
      <c r="N84" t="s">
        <v>271</v>
      </c>
    </row>
    <row r="85" spans="1:14" hidden="1" x14ac:dyDescent="0.3">
      <c r="A85" t="s">
        <v>233</v>
      </c>
      <c r="B85" t="s">
        <v>49</v>
      </c>
      <c r="C85" t="s">
        <v>109</v>
      </c>
      <c r="D85" t="s">
        <v>112</v>
      </c>
      <c r="F85" t="s">
        <v>16</v>
      </c>
      <c r="G85" t="s">
        <v>96</v>
      </c>
      <c r="H85">
        <v>330</v>
      </c>
      <c r="L85" t="s">
        <v>52</v>
      </c>
      <c r="M85" t="s">
        <v>43</v>
      </c>
      <c r="N85" t="s">
        <v>271</v>
      </c>
    </row>
    <row r="86" spans="1:14" hidden="1" x14ac:dyDescent="0.3">
      <c r="A86" t="s">
        <v>233</v>
      </c>
      <c r="B86" t="s">
        <v>49</v>
      </c>
      <c r="C86" t="s">
        <v>109</v>
      </c>
      <c r="D86" t="s">
        <v>113</v>
      </c>
      <c r="F86" t="s">
        <v>16</v>
      </c>
      <c r="G86" t="s">
        <v>96</v>
      </c>
      <c r="H86">
        <v>390</v>
      </c>
      <c r="L86" t="s">
        <v>52</v>
      </c>
      <c r="M86" t="s">
        <v>43</v>
      </c>
      <c r="N86" t="s">
        <v>271</v>
      </c>
    </row>
    <row r="87" spans="1:14" hidden="1" x14ac:dyDescent="0.3">
      <c r="A87" t="s">
        <v>233</v>
      </c>
      <c r="B87" t="s">
        <v>49</v>
      </c>
      <c r="C87" t="s">
        <v>109</v>
      </c>
      <c r="D87" t="s">
        <v>114</v>
      </c>
      <c r="F87" t="s">
        <v>16</v>
      </c>
      <c r="G87" t="s">
        <v>61</v>
      </c>
      <c r="H87">
        <v>370</v>
      </c>
      <c r="L87" t="s">
        <v>52</v>
      </c>
      <c r="M87" t="s">
        <v>43</v>
      </c>
      <c r="N87" t="s">
        <v>271</v>
      </c>
    </row>
    <row r="88" spans="1:14" hidden="1" x14ac:dyDescent="0.3">
      <c r="A88" t="s">
        <v>233</v>
      </c>
      <c r="B88" t="s">
        <v>49</v>
      </c>
      <c r="C88" t="s">
        <v>115</v>
      </c>
      <c r="D88" t="s">
        <v>116</v>
      </c>
      <c r="F88" t="s">
        <v>117</v>
      </c>
      <c r="H88">
        <v>15</v>
      </c>
      <c r="I88" t="s">
        <v>118</v>
      </c>
      <c r="L88" t="s">
        <v>52</v>
      </c>
      <c r="M88" t="s">
        <v>43</v>
      </c>
      <c r="N88" t="s">
        <v>271</v>
      </c>
    </row>
    <row r="89" spans="1:14" hidden="1" x14ac:dyDescent="0.3">
      <c r="A89" t="s">
        <v>233</v>
      </c>
      <c r="B89" t="s">
        <v>49</v>
      </c>
      <c r="C89" t="s">
        <v>115</v>
      </c>
      <c r="D89" t="s">
        <v>119</v>
      </c>
      <c r="F89" t="s">
        <v>117</v>
      </c>
      <c r="H89">
        <v>30</v>
      </c>
      <c r="I89" t="s">
        <v>120</v>
      </c>
      <c r="L89" t="s">
        <v>52</v>
      </c>
      <c r="M89" t="s">
        <v>43</v>
      </c>
      <c r="N89" t="s">
        <v>271</v>
      </c>
    </row>
    <row r="90" spans="1:14" hidden="1" x14ac:dyDescent="0.3">
      <c r="A90" t="s">
        <v>233</v>
      </c>
      <c r="B90" t="s">
        <v>49</v>
      </c>
      <c r="C90" t="s">
        <v>115</v>
      </c>
      <c r="D90" t="s">
        <v>121</v>
      </c>
      <c r="F90" t="s">
        <v>117</v>
      </c>
      <c r="H90">
        <v>40</v>
      </c>
      <c r="I90" t="s">
        <v>122</v>
      </c>
      <c r="L90" t="s">
        <v>52</v>
      </c>
      <c r="M90" t="s">
        <v>43</v>
      </c>
      <c r="N90" t="s">
        <v>271</v>
      </c>
    </row>
    <row r="91" spans="1:14" hidden="1" x14ac:dyDescent="0.3">
      <c r="A91" t="s">
        <v>233</v>
      </c>
      <c r="B91" t="s">
        <v>49</v>
      </c>
      <c r="C91" t="s">
        <v>115</v>
      </c>
      <c r="D91" t="s">
        <v>123</v>
      </c>
      <c r="F91" t="s">
        <v>117</v>
      </c>
      <c r="H91">
        <v>60</v>
      </c>
      <c r="I91" t="s">
        <v>124</v>
      </c>
      <c r="L91" t="s">
        <v>52</v>
      </c>
      <c r="M91" t="s">
        <v>43</v>
      </c>
      <c r="N91" t="s">
        <v>271</v>
      </c>
    </row>
    <row r="92" spans="1:14" hidden="1" x14ac:dyDescent="0.3">
      <c r="A92" t="s">
        <v>233</v>
      </c>
      <c r="B92" t="s">
        <v>49</v>
      </c>
      <c r="C92" t="s">
        <v>115</v>
      </c>
      <c r="D92" t="s">
        <v>125</v>
      </c>
      <c r="F92" t="s">
        <v>117</v>
      </c>
      <c r="H92">
        <v>80</v>
      </c>
      <c r="I92" t="s">
        <v>126</v>
      </c>
      <c r="L92" t="s">
        <v>52</v>
      </c>
      <c r="M92" t="s">
        <v>43</v>
      </c>
      <c r="N92" t="s">
        <v>271</v>
      </c>
    </row>
    <row r="93" spans="1:14" hidden="1" x14ac:dyDescent="0.3">
      <c r="A93" t="s">
        <v>233</v>
      </c>
      <c r="B93" t="s">
        <v>49</v>
      </c>
      <c r="C93" t="s">
        <v>127</v>
      </c>
      <c r="D93" t="s">
        <v>128</v>
      </c>
      <c r="F93" t="s">
        <v>16</v>
      </c>
      <c r="H93">
        <v>100</v>
      </c>
      <c r="L93" t="s">
        <v>52</v>
      </c>
      <c r="M93" t="s">
        <v>43</v>
      </c>
      <c r="N93" t="s">
        <v>271</v>
      </c>
    </row>
    <row r="94" spans="1:14" hidden="1" x14ac:dyDescent="0.3">
      <c r="A94" t="s">
        <v>233</v>
      </c>
      <c r="B94" t="s">
        <v>49</v>
      </c>
      <c r="C94" t="s">
        <v>127</v>
      </c>
      <c r="D94" t="s">
        <v>129</v>
      </c>
      <c r="F94" t="s">
        <v>16</v>
      </c>
      <c r="H94">
        <v>130</v>
      </c>
      <c r="L94" t="s">
        <v>52</v>
      </c>
      <c r="M94" t="s">
        <v>43</v>
      </c>
      <c r="N94" t="s">
        <v>271</v>
      </c>
    </row>
    <row r="95" spans="1:14" hidden="1" x14ac:dyDescent="0.3">
      <c r="A95" t="s">
        <v>233</v>
      </c>
      <c r="B95" t="s">
        <v>49</v>
      </c>
      <c r="C95" t="s">
        <v>127</v>
      </c>
      <c r="D95" t="s">
        <v>130</v>
      </c>
      <c r="F95" t="s">
        <v>16</v>
      </c>
      <c r="H95">
        <v>130</v>
      </c>
      <c r="L95" t="s">
        <v>52</v>
      </c>
      <c r="M95" t="s">
        <v>43</v>
      </c>
      <c r="N95" t="s">
        <v>271</v>
      </c>
    </row>
    <row r="96" spans="1:14" hidden="1" x14ac:dyDescent="0.3">
      <c r="A96" t="s">
        <v>233</v>
      </c>
      <c r="B96" t="s">
        <v>49</v>
      </c>
      <c r="C96" t="s">
        <v>127</v>
      </c>
      <c r="D96" t="s">
        <v>131</v>
      </c>
      <c r="F96" t="s">
        <v>16</v>
      </c>
      <c r="H96">
        <v>140</v>
      </c>
      <c r="L96" t="s">
        <v>52</v>
      </c>
      <c r="M96" t="s">
        <v>43</v>
      </c>
      <c r="N96" t="s">
        <v>271</v>
      </c>
    </row>
    <row r="97" spans="1:14" hidden="1" x14ac:dyDescent="0.3">
      <c r="A97" t="s">
        <v>233</v>
      </c>
      <c r="B97" t="s">
        <v>49</v>
      </c>
      <c r="C97" t="s">
        <v>127</v>
      </c>
      <c r="D97" t="s">
        <v>132</v>
      </c>
      <c r="F97" t="s">
        <v>16</v>
      </c>
      <c r="H97">
        <v>140</v>
      </c>
      <c r="L97" t="s">
        <v>52</v>
      </c>
      <c r="M97" t="s">
        <v>43</v>
      </c>
      <c r="N97" t="s">
        <v>271</v>
      </c>
    </row>
    <row r="98" spans="1:14" hidden="1" x14ac:dyDescent="0.3">
      <c r="A98" t="s">
        <v>233</v>
      </c>
      <c r="B98" t="s">
        <v>49</v>
      </c>
      <c r="C98" t="s">
        <v>127</v>
      </c>
      <c r="D98" t="s">
        <v>133</v>
      </c>
      <c r="F98" t="s">
        <v>16</v>
      </c>
      <c r="H98">
        <v>150</v>
      </c>
      <c r="L98" t="s">
        <v>52</v>
      </c>
      <c r="M98" t="s">
        <v>43</v>
      </c>
      <c r="N98" t="s">
        <v>271</v>
      </c>
    </row>
    <row r="99" spans="1:14" hidden="1" x14ac:dyDescent="0.3">
      <c r="A99" t="s">
        <v>233</v>
      </c>
      <c r="B99" t="s">
        <v>134</v>
      </c>
      <c r="C99" t="s">
        <v>135</v>
      </c>
      <c r="D99" t="s">
        <v>136</v>
      </c>
      <c r="F99" t="s">
        <v>16</v>
      </c>
      <c r="G99" t="s">
        <v>17</v>
      </c>
      <c r="H99">
        <v>450</v>
      </c>
      <c r="L99" t="s">
        <v>52</v>
      </c>
      <c r="M99" t="s">
        <v>43</v>
      </c>
      <c r="N99" t="s">
        <v>44</v>
      </c>
    </row>
    <row r="100" spans="1:14" hidden="1" x14ac:dyDescent="0.3">
      <c r="A100" t="s">
        <v>233</v>
      </c>
      <c r="B100" t="s">
        <v>134</v>
      </c>
      <c r="C100" t="s">
        <v>135</v>
      </c>
      <c r="D100" t="s">
        <v>137</v>
      </c>
      <c r="F100" t="s">
        <v>138</v>
      </c>
      <c r="G100" t="s">
        <v>20</v>
      </c>
      <c r="H100">
        <v>450</v>
      </c>
      <c r="I100" t="s">
        <v>139</v>
      </c>
      <c r="L100" t="s">
        <v>52</v>
      </c>
      <c r="M100" t="s">
        <v>43</v>
      </c>
      <c r="N100" t="s">
        <v>44</v>
      </c>
    </row>
    <row r="101" spans="1:14" hidden="1" x14ac:dyDescent="0.3">
      <c r="A101" t="s">
        <v>233</v>
      </c>
      <c r="B101" t="s">
        <v>134</v>
      </c>
      <c r="C101" t="s">
        <v>140</v>
      </c>
      <c r="D101" t="s">
        <v>141</v>
      </c>
      <c r="F101" t="s">
        <v>16</v>
      </c>
      <c r="G101" t="s">
        <v>20</v>
      </c>
      <c r="H101">
        <v>650</v>
      </c>
      <c r="L101" t="s">
        <v>52</v>
      </c>
      <c r="M101" t="s">
        <v>43</v>
      </c>
      <c r="N101" t="s">
        <v>44</v>
      </c>
    </row>
    <row r="102" spans="1:14" hidden="1" x14ac:dyDescent="0.3">
      <c r="A102" t="s">
        <v>233</v>
      </c>
      <c r="B102" t="s">
        <v>142</v>
      </c>
      <c r="C102" t="s">
        <v>143</v>
      </c>
      <c r="D102" t="s">
        <v>144</v>
      </c>
      <c r="F102" t="s">
        <v>16</v>
      </c>
      <c r="G102" t="s">
        <v>17</v>
      </c>
      <c r="H102">
        <v>500</v>
      </c>
      <c r="I102" t="s">
        <v>145</v>
      </c>
      <c r="L102" t="s">
        <v>52</v>
      </c>
      <c r="M102" t="s">
        <v>43</v>
      </c>
      <c r="N102" t="s">
        <v>44</v>
      </c>
    </row>
    <row r="103" spans="1:14" hidden="1" x14ac:dyDescent="0.3">
      <c r="A103" t="s">
        <v>233</v>
      </c>
      <c r="B103" t="s">
        <v>142</v>
      </c>
      <c r="C103" t="s">
        <v>143</v>
      </c>
      <c r="D103" t="s">
        <v>146</v>
      </c>
      <c r="F103" t="s">
        <v>16</v>
      </c>
      <c r="G103" t="s">
        <v>55</v>
      </c>
      <c r="H103">
        <v>650</v>
      </c>
      <c r="I103" t="s">
        <v>145</v>
      </c>
      <c r="L103" t="s">
        <v>52</v>
      </c>
      <c r="M103" t="s">
        <v>43</v>
      </c>
      <c r="N103" t="s">
        <v>44</v>
      </c>
    </row>
    <row r="104" spans="1:14" hidden="1" x14ac:dyDescent="0.3">
      <c r="A104" t="s">
        <v>233</v>
      </c>
      <c r="B104" t="s">
        <v>142</v>
      </c>
      <c r="C104" t="s">
        <v>143</v>
      </c>
      <c r="D104" t="s">
        <v>147</v>
      </c>
      <c r="F104" t="s">
        <v>16</v>
      </c>
      <c r="G104" t="s">
        <v>20</v>
      </c>
      <c r="H104">
        <v>750</v>
      </c>
      <c r="I104" t="s">
        <v>145</v>
      </c>
      <c r="L104" t="s">
        <v>52</v>
      </c>
      <c r="M104" t="s">
        <v>43</v>
      </c>
      <c r="N104" t="s">
        <v>44</v>
      </c>
    </row>
    <row r="105" spans="1:14" hidden="1" x14ac:dyDescent="0.3">
      <c r="A105" t="s">
        <v>233</v>
      </c>
      <c r="B105" t="s">
        <v>142</v>
      </c>
      <c r="C105" t="s">
        <v>143</v>
      </c>
      <c r="D105" t="s">
        <v>148</v>
      </c>
      <c r="F105" t="s">
        <v>16</v>
      </c>
      <c r="G105" t="s">
        <v>149</v>
      </c>
      <c r="H105">
        <v>350</v>
      </c>
      <c r="I105" t="s">
        <v>145</v>
      </c>
      <c r="L105" t="s">
        <v>52</v>
      </c>
      <c r="M105" t="s">
        <v>43</v>
      </c>
      <c r="N105" t="s">
        <v>44</v>
      </c>
    </row>
    <row r="106" spans="1:14" hidden="1" x14ac:dyDescent="0.3">
      <c r="A106" t="s">
        <v>233</v>
      </c>
      <c r="B106" t="s">
        <v>142</v>
      </c>
      <c r="C106" t="s">
        <v>142</v>
      </c>
      <c r="D106" t="s">
        <v>150</v>
      </c>
      <c r="F106" t="s">
        <v>151</v>
      </c>
      <c r="G106" t="s">
        <v>17</v>
      </c>
      <c r="H106">
        <v>600</v>
      </c>
      <c r="L106" t="s">
        <v>52</v>
      </c>
      <c r="M106" t="s">
        <v>43</v>
      </c>
      <c r="N106" t="s">
        <v>44</v>
      </c>
    </row>
    <row r="107" spans="1:14" hidden="1" x14ac:dyDescent="0.3">
      <c r="A107" t="s">
        <v>233</v>
      </c>
      <c r="B107" t="s">
        <v>142</v>
      </c>
      <c r="C107" t="s">
        <v>142</v>
      </c>
      <c r="D107" t="s">
        <v>152</v>
      </c>
      <c r="F107" t="s">
        <v>151</v>
      </c>
      <c r="G107" t="s">
        <v>28</v>
      </c>
      <c r="H107">
        <v>500</v>
      </c>
      <c r="I107" t="s">
        <v>145</v>
      </c>
      <c r="L107" t="s">
        <v>52</v>
      </c>
      <c r="M107" t="s">
        <v>43</v>
      </c>
      <c r="N107" t="s">
        <v>44</v>
      </c>
    </row>
    <row r="108" spans="1:14" hidden="1" x14ac:dyDescent="0.3">
      <c r="A108" t="s">
        <v>233</v>
      </c>
      <c r="B108" t="s">
        <v>142</v>
      </c>
      <c r="C108" t="s">
        <v>142</v>
      </c>
      <c r="D108" t="s">
        <v>153</v>
      </c>
      <c r="F108" t="s">
        <v>16</v>
      </c>
      <c r="G108" t="s">
        <v>65</v>
      </c>
      <c r="H108">
        <v>850</v>
      </c>
      <c r="L108" t="s">
        <v>52</v>
      </c>
      <c r="M108" t="s">
        <v>43</v>
      </c>
      <c r="N108" t="s">
        <v>44</v>
      </c>
    </row>
    <row r="109" spans="1:14" hidden="1" x14ac:dyDescent="0.3">
      <c r="A109" t="s">
        <v>233</v>
      </c>
      <c r="B109" t="s">
        <v>142</v>
      </c>
      <c r="C109" t="s">
        <v>142</v>
      </c>
      <c r="D109" t="s">
        <v>154</v>
      </c>
      <c r="F109" t="s">
        <v>155</v>
      </c>
      <c r="G109" t="s">
        <v>17</v>
      </c>
      <c r="H109">
        <v>1000</v>
      </c>
      <c r="L109" t="s">
        <v>52</v>
      </c>
      <c r="M109" t="s">
        <v>43</v>
      </c>
      <c r="N109" t="s">
        <v>44</v>
      </c>
    </row>
    <row r="110" spans="1:14" hidden="1" x14ac:dyDescent="0.3">
      <c r="A110" t="s">
        <v>233</v>
      </c>
      <c r="B110" t="s">
        <v>142</v>
      </c>
      <c r="C110" t="s">
        <v>142</v>
      </c>
      <c r="D110" t="s">
        <v>156</v>
      </c>
      <c r="F110" t="s">
        <v>16</v>
      </c>
      <c r="G110" t="s">
        <v>157</v>
      </c>
      <c r="H110">
        <v>1700</v>
      </c>
      <c r="L110" t="s">
        <v>52</v>
      </c>
      <c r="M110" t="s">
        <v>43</v>
      </c>
      <c r="N110" t="s">
        <v>44</v>
      </c>
    </row>
    <row r="111" spans="1:14" hidden="1" x14ac:dyDescent="0.3">
      <c r="A111" t="s">
        <v>233</v>
      </c>
      <c r="B111" t="s">
        <v>158</v>
      </c>
      <c r="C111" t="s">
        <v>159</v>
      </c>
      <c r="D111" t="s">
        <v>158</v>
      </c>
      <c r="F111" t="s">
        <v>16</v>
      </c>
      <c r="G111" t="s">
        <v>20</v>
      </c>
      <c r="H111">
        <v>1200</v>
      </c>
      <c r="L111" t="s">
        <v>52</v>
      </c>
      <c r="M111" t="s">
        <v>43</v>
      </c>
      <c r="N111" t="s">
        <v>44</v>
      </c>
    </row>
    <row r="112" spans="1:14" hidden="1" x14ac:dyDescent="0.3">
      <c r="A112" t="s">
        <v>233</v>
      </c>
      <c r="B112" t="s">
        <v>158</v>
      </c>
      <c r="C112" t="s">
        <v>159</v>
      </c>
      <c r="D112" t="s">
        <v>160</v>
      </c>
      <c r="F112" t="s">
        <v>16</v>
      </c>
      <c r="G112" t="s">
        <v>94</v>
      </c>
      <c r="H112">
        <v>2000</v>
      </c>
      <c r="L112" t="s">
        <v>52</v>
      </c>
      <c r="M112" t="s">
        <v>43</v>
      </c>
      <c r="N112" t="s">
        <v>44</v>
      </c>
    </row>
    <row r="113" spans="1:14" hidden="1" x14ac:dyDescent="0.3">
      <c r="A113" t="s">
        <v>233</v>
      </c>
      <c r="B113" t="s">
        <v>158</v>
      </c>
      <c r="C113" t="s">
        <v>159</v>
      </c>
      <c r="D113" t="s">
        <v>161</v>
      </c>
      <c r="F113" t="s">
        <v>16</v>
      </c>
      <c r="G113" t="s">
        <v>65</v>
      </c>
      <c r="H113">
        <v>800</v>
      </c>
      <c r="L113" t="s">
        <v>52</v>
      </c>
      <c r="M113" t="s">
        <v>43</v>
      </c>
      <c r="N113" t="s">
        <v>44</v>
      </c>
    </row>
    <row r="114" spans="1:14" hidden="1" x14ac:dyDescent="0.3">
      <c r="A114" t="s">
        <v>233</v>
      </c>
      <c r="B114" t="s">
        <v>158</v>
      </c>
      <c r="C114" t="s">
        <v>159</v>
      </c>
      <c r="D114" t="s">
        <v>162</v>
      </c>
      <c r="F114" t="s">
        <v>16</v>
      </c>
      <c r="G114" t="s">
        <v>94</v>
      </c>
      <c r="H114">
        <v>2300</v>
      </c>
      <c r="L114" t="s">
        <v>52</v>
      </c>
      <c r="M114" t="s">
        <v>43</v>
      </c>
      <c r="N114" t="s">
        <v>44</v>
      </c>
    </row>
    <row r="115" spans="1:14" hidden="1" x14ac:dyDescent="0.3">
      <c r="A115" t="s">
        <v>233</v>
      </c>
      <c r="B115" t="s">
        <v>142</v>
      </c>
      <c r="C115" t="s">
        <v>163</v>
      </c>
      <c r="D115" t="s">
        <v>164</v>
      </c>
      <c r="F115" t="s">
        <v>151</v>
      </c>
      <c r="G115" t="s">
        <v>94</v>
      </c>
      <c r="H115">
        <v>2300</v>
      </c>
      <c r="I115" t="s">
        <v>165</v>
      </c>
      <c r="L115" t="s">
        <v>52</v>
      </c>
      <c r="M115" t="s">
        <v>43</v>
      </c>
      <c r="N115" t="s">
        <v>44</v>
      </c>
    </row>
    <row r="116" spans="1:14" hidden="1" x14ac:dyDescent="0.3">
      <c r="A116" t="s">
        <v>233</v>
      </c>
      <c r="B116" t="s">
        <v>142</v>
      </c>
      <c r="C116" t="s">
        <v>163</v>
      </c>
      <c r="D116" t="s">
        <v>166</v>
      </c>
      <c r="F116" t="s">
        <v>151</v>
      </c>
      <c r="G116" t="s">
        <v>94</v>
      </c>
      <c r="H116">
        <v>2300</v>
      </c>
      <c r="I116" t="s">
        <v>167</v>
      </c>
      <c r="L116" t="s">
        <v>52</v>
      </c>
      <c r="M116" t="s">
        <v>43</v>
      </c>
      <c r="N116" t="s">
        <v>44</v>
      </c>
    </row>
    <row r="117" spans="1:14" hidden="1" x14ac:dyDescent="0.3">
      <c r="A117" t="s">
        <v>233</v>
      </c>
      <c r="B117" t="s">
        <v>142</v>
      </c>
      <c r="C117" t="s">
        <v>163</v>
      </c>
      <c r="D117" t="s">
        <v>168</v>
      </c>
      <c r="F117" t="s">
        <v>151</v>
      </c>
      <c r="G117" t="s">
        <v>94</v>
      </c>
      <c r="H117">
        <v>2300</v>
      </c>
      <c r="I117" t="s">
        <v>169</v>
      </c>
      <c r="L117" t="s">
        <v>52</v>
      </c>
      <c r="M117" t="s">
        <v>43</v>
      </c>
      <c r="N117" t="s">
        <v>44</v>
      </c>
    </row>
    <row r="118" spans="1:14" hidden="1" x14ac:dyDescent="0.3">
      <c r="A118" t="s">
        <v>233</v>
      </c>
      <c r="B118" t="s">
        <v>142</v>
      </c>
      <c r="C118" t="s">
        <v>163</v>
      </c>
      <c r="D118" t="s">
        <v>170</v>
      </c>
      <c r="F118" t="s">
        <v>151</v>
      </c>
      <c r="G118" t="s">
        <v>171</v>
      </c>
      <c r="H118">
        <v>2800</v>
      </c>
      <c r="L118" t="s">
        <v>52</v>
      </c>
      <c r="M118" t="s">
        <v>43</v>
      </c>
      <c r="N118" t="s">
        <v>44</v>
      </c>
    </row>
    <row r="119" spans="1:14" hidden="1" x14ac:dyDescent="0.3">
      <c r="A119" t="s">
        <v>233</v>
      </c>
      <c r="B119" t="s">
        <v>142</v>
      </c>
      <c r="C119" t="s">
        <v>172</v>
      </c>
      <c r="D119" t="s">
        <v>173</v>
      </c>
      <c r="F119" t="s">
        <v>151</v>
      </c>
      <c r="G119" t="s">
        <v>174</v>
      </c>
      <c r="H119">
        <v>2500</v>
      </c>
      <c r="I119" t="s">
        <v>175</v>
      </c>
      <c r="L119" t="s">
        <v>52</v>
      </c>
      <c r="M119" t="s">
        <v>43</v>
      </c>
      <c r="N119" t="s">
        <v>44</v>
      </c>
    </row>
    <row r="120" spans="1:14" hidden="1" x14ac:dyDescent="0.3">
      <c r="A120" t="s">
        <v>233</v>
      </c>
      <c r="B120" t="s">
        <v>142</v>
      </c>
      <c r="C120" t="s">
        <v>172</v>
      </c>
      <c r="D120" t="s">
        <v>176</v>
      </c>
      <c r="F120" t="s">
        <v>151</v>
      </c>
      <c r="G120" t="s">
        <v>157</v>
      </c>
      <c r="H120">
        <v>1300</v>
      </c>
      <c r="L120" t="s">
        <v>52</v>
      </c>
      <c r="M120" t="s">
        <v>43</v>
      </c>
      <c r="N120" t="s">
        <v>44</v>
      </c>
    </row>
    <row r="121" spans="1:14" hidden="1" x14ac:dyDescent="0.3">
      <c r="A121" t="s">
        <v>233</v>
      </c>
      <c r="B121" t="s">
        <v>142</v>
      </c>
      <c r="C121" t="s">
        <v>172</v>
      </c>
      <c r="D121" t="s">
        <v>177</v>
      </c>
      <c r="F121" t="s">
        <v>151</v>
      </c>
      <c r="G121" t="s">
        <v>17</v>
      </c>
      <c r="H121">
        <v>1000</v>
      </c>
      <c r="L121" t="s">
        <v>52</v>
      </c>
      <c r="M121" t="s">
        <v>43</v>
      </c>
      <c r="N121" t="s">
        <v>44</v>
      </c>
    </row>
    <row r="122" spans="1:14" hidden="1" x14ac:dyDescent="0.3">
      <c r="A122" t="s">
        <v>233</v>
      </c>
      <c r="B122" t="s">
        <v>142</v>
      </c>
      <c r="C122" t="s">
        <v>172</v>
      </c>
      <c r="D122" t="s">
        <v>178</v>
      </c>
      <c r="F122" t="s">
        <v>151</v>
      </c>
      <c r="G122" t="s">
        <v>179</v>
      </c>
      <c r="H122">
        <v>1700</v>
      </c>
      <c r="I122" t="s">
        <v>180</v>
      </c>
      <c r="J122" s="2" t="s">
        <v>181</v>
      </c>
      <c r="K122" s="2" t="s">
        <v>182</v>
      </c>
      <c r="L122" t="s">
        <v>52</v>
      </c>
      <c r="M122" t="s">
        <v>43</v>
      </c>
      <c r="N122" t="s">
        <v>44</v>
      </c>
    </row>
    <row r="123" spans="1:14" ht="43.2" x14ac:dyDescent="0.3">
      <c r="A123" s="6" t="s">
        <v>266</v>
      </c>
      <c r="B123" s="6" t="s">
        <v>183</v>
      </c>
      <c r="C123" s="6" t="s">
        <v>184</v>
      </c>
      <c r="D123" s="6" t="s">
        <v>185</v>
      </c>
      <c r="E123" s="6"/>
      <c r="F123" s="6" t="s">
        <v>16</v>
      </c>
      <c r="G123" s="6" t="s">
        <v>28</v>
      </c>
      <c r="H123" s="6">
        <v>465</v>
      </c>
      <c r="I123" s="7" t="s">
        <v>186</v>
      </c>
      <c r="J123" s="6" t="s">
        <v>187</v>
      </c>
      <c r="K123" s="8">
        <v>698</v>
      </c>
      <c r="L123" t="s">
        <v>270</v>
      </c>
      <c r="M123" t="s">
        <v>18</v>
      </c>
      <c r="N123" t="s">
        <v>44</v>
      </c>
    </row>
    <row r="124" spans="1:14" x14ac:dyDescent="0.3">
      <c r="A124" t="s">
        <v>266</v>
      </c>
      <c r="B124" t="s">
        <v>183</v>
      </c>
      <c r="C124" t="s">
        <v>184</v>
      </c>
      <c r="D124" t="s">
        <v>188</v>
      </c>
      <c r="F124" t="s">
        <v>16</v>
      </c>
      <c r="G124" t="s">
        <v>189</v>
      </c>
      <c r="H124">
        <v>140</v>
      </c>
      <c r="J124" t="s">
        <v>190</v>
      </c>
      <c r="K124" s="9">
        <v>210</v>
      </c>
      <c r="L124" t="s">
        <v>270</v>
      </c>
      <c r="M124" t="s">
        <v>18</v>
      </c>
      <c r="N124" t="s">
        <v>44</v>
      </c>
    </row>
    <row r="125" spans="1:14" x14ac:dyDescent="0.3">
      <c r="A125" t="s">
        <v>266</v>
      </c>
      <c r="B125" t="s">
        <v>183</v>
      </c>
      <c r="C125" t="s">
        <v>184</v>
      </c>
      <c r="D125" t="s">
        <v>191</v>
      </c>
      <c r="F125" t="s">
        <v>16</v>
      </c>
      <c r="G125" t="s">
        <v>189</v>
      </c>
      <c r="H125">
        <v>140</v>
      </c>
      <c r="J125" t="s">
        <v>190</v>
      </c>
      <c r="K125" s="9">
        <v>210</v>
      </c>
      <c r="L125" t="s">
        <v>270</v>
      </c>
      <c r="M125" t="s">
        <v>18</v>
      </c>
      <c r="N125" t="s">
        <v>44</v>
      </c>
    </row>
    <row r="126" spans="1:14" x14ac:dyDescent="0.3">
      <c r="A126" t="s">
        <v>266</v>
      </c>
      <c r="B126" t="s">
        <v>183</v>
      </c>
      <c r="C126" t="s">
        <v>184</v>
      </c>
      <c r="D126" t="s">
        <v>134</v>
      </c>
      <c r="F126" t="s">
        <v>16</v>
      </c>
      <c r="G126" t="s">
        <v>190</v>
      </c>
      <c r="H126">
        <v>140</v>
      </c>
      <c r="J126" t="s">
        <v>89</v>
      </c>
      <c r="K126" s="9">
        <v>210</v>
      </c>
      <c r="L126" t="s">
        <v>270</v>
      </c>
      <c r="M126" t="s">
        <v>18</v>
      </c>
      <c r="N126" t="s">
        <v>44</v>
      </c>
    </row>
    <row r="127" spans="1:14" x14ac:dyDescent="0.3">
      <c r="A127" t="s">
        <v>266</v>
      </c>
      <c r="B127" t="s">
        <v>183</v>
      </c>
      <c r="C127" t="s">
        <v>184</v>
      </c>
      <c r="D127" t="s">
        <v>192</v>
      </c>
      <c r="F127" t="s">
        <v>16</v>
      </c>
      <c r="G127" t="s">
        <v>89</v>
      </c>
      <c r="H127">
        <v>230</v>
      </c>
      <c r="J127" t="s">
        <v>89</v>
      </c>
      <c r="K127" s="9">
        <v>345</v>
      </c>
      <c r="L127" t="s">
        <v>270</v>
      </c>
      <c r="M127" t="s">
        <v>18</v>
      </c>
      <c r="N127" t="s">
        <v>44</v>
      </c>
    </row>
    <row r="128" spans="1:14" x14ac:dyDescent="0.3">
      <c r="A128" t="s">
        <v>266</v>
      </c>
      <c r="B128" t="s">
        <v>183</v>
      </c>
      <c r="C128" t="s">
        <v>184</v>
      </c>
      <c r="D128" t="s">
        <v>193</v>
      </c>
      <c r="F128" t="s">
        <v>16</v>
      </c>
      <c r="G128" t="s">
        <v>189</v>
      </c>
      <c r="H128">
        <v>140</v>
      </c>
      <c r="J128" t="s">
        <v>190</v>
      </c>
      <c r="K128" s="9">
        <v>210</v>
      </c>
      <c r="L128" t="s">
        <v>270</v>
      </c>
      <c r="M128" t="s">
        <v>18</v>
      </c>
      <c r="N128" t="s">
        <v>44</v>
      </c>
    </row>
    <row r="129" spans="1:14" x14ac:dyDescent="0.3">
      <c r="A129" t="s">
        <v>266</v>
      </c>
      <c r="B129" t="s">
        <v>183</v>
      </c>
      <c r="C129" t="s">
        <v>184</v>
      </c>
      <c r="D129" t="s">
        <v>194</v>
      </c>
      <c r="F129" t="s">
        <v>16</v>
      </c>
      <c r="G129" t="s">
        <v>195</v>
      </c>
      <c r="H129">
        <v>135</v>
      </c>
      <c r="J129" t="s">
        <v>190</v>
      </c>
      <c r="K129" s="9">
        <v>203</v>
      </c>
      <c r="L129" t="s">
        <v>270</v>
      </c>
      <c r="M129" t="s">
        <v>18</v>
      </c>
      <c r="N129" t="s">
        <v>44</v>
      </c>
    </row>
    <row r="130" spans="1:14" x14ac:dyDescent="0.3">
      <c r="A130" t="s">
        <v>266</v>
      </c>
      <c r="B130" t="s">
        <v>183</v>
      </c>
      <c r="C130" t="s">
        <v>184</v>
      </c>
      <c r="D130" t="s">
        <v>196</v>
      </c>
      <c r="F130" t="s">
        <v>16</v>
      </c>
      <c r="G130" t="s">
        <v>195</v>
      </c>
      <c r="H130">
        <v>140</v>
      </c>
      <c r="J130" t="s">
        <v>190</v>
      </c>
      <c r="K130" s="9">
        <v>210</v>
      </c>
      <c r="L130" t="s">
        <v>270</v>
      </c>
      <c r="M130" t="s">
        <v>18</v>
      </c>
      <c r="N130" t="s">
        <v>44</v>
      </c>
    </row>
    <row r="131" spans="1:14" x14ac:dyDescent="0.3">
      <c r="A131" t="s">
        <v>266</v>
      </c>
      <c r="B131" t="s">
        <v>183</v>
      </c>
      <c r="C131" t="s">
        <v>184</v>
      </c>
      <c r="D131" t="s">
        <v>197</v>
      </c>
      <c r="F131" t="s">
        <v>16</v>
      </c>
      <c r="G131" t="s">
        <v>189</v>
      </c>
      <c r="H131">
        <v>140</v>
      </c>
      <c r="J131" t="s">
        <v>190</v>
      </c>
      <c r="K131" s="9">
        <v>210</v>
      </c>
      <c r="L131" t="s">
        <v>270</v>
      </c>
      <c r="M131" t="s">
        <v>18</v>
      </c>
      <c r="N131" t="s">
        <v>44</v>
      </c>
    </row>
    <row r="132" spans="1:14" x14ac:dyDescent="0.3">
      <c r="A132" t="s">
        <v>266</v>
      </c>
      <c r="B132" t="s">
        <v>183</v>
      </c>
      <c r="C132" t="s">
        <v>184</v>
      </c>
      <c r="D132" t="s">
        <v>198</v>
      </c>
      <c r="F132" t="s">
        <v>16</v>
      </c>
      <c r="G132" t="s">
        <v>189</v>
      </c>
      <c r="H132">
        <v>140</v>
      </c>
      <c r="J132" t="s">
        <v>190</v>
      </c>
      <c r="K132" s="9">
        <v>210</v>
      </c>
      <c r="L132" t="s">
        <v>270</v>
      </c>
      <c r="M132" t="s">
        <v>18</v>
      </c>
      <c r="N132" t="s">
        <v>44</v>
      </c>
    </row>
    <row r="133" spans="1:14" x14ac:dyDescent="0.3">
      <c r="A133" t="s">
        <v>266</v>
      </c>
      <c r="B133" t="s">
        <v>183</v>
      </c>
      <c r="C133" t="s">
        <v>184</v>
      </c>
      <c r="D133" t="s">
        <v>199</v>
      </c>
      <c r="F133" t="s">
        <v>16</v>
      </c>
      <c r="G133" t="s">
        <v>190</v>
      </c>
      <c r="H133">
        <v>155</v>
      </c>
      <c r="J133" t="s">
        <v>200</v>
      </c>
      <c r="K133" s="9">
        <v>233</v>
      </c>
      <c r="L133" t="s">
        <v>270</v>
      </c>
      <c r="M133" t="s">
        <v>18</v>
      </c>
      <c r="N133" t="s">
        <v>44</v>
      </c>
    </row>
    <row r="134" spans="1:14" x14ac:dyDescent="0.3">
      <c r="A134" t="s">
        <v>266</v>
      </c>
      <c r="B134" t="s">
        <v>183</v>
      </c>
      <c r="C134" t="s">
        <v>184</v>
      </c>
      <c r="D134" t="s">
        <v>201</v>
      </c>
      <c r="F134" t="s">
        <v>16</v>
      </c>
      <c r="G134" t="s">
        <v>89</v>
      </c>
      <c r="H134">
        <v>175</v>
      </c>
      <c r="J134" t="s">
        <v>69</v>
      </c>
      <c r="K134" s="9">
        <v>263</v>
      </c>
      <c r="L134" t="s">
        <v>270</v>
      </c>
      <c r="M134" t="s">
        <v>18</v>
      </c>
      <c r="N134" t="s">
        <v>44</v>
      </c>
    </row>
    <row r="135" spans="1:14" x14ac:dyDescent="0.3">
      <c r="A135" t="s">
        <v>266</v>
      </c>
      <c r="B135" t="s">
        <v>183</v>
      </c>
      <c r="C135" t="s">
        <v>184</v>
      </c>
      <c r="D135" t="s">
        <v>202</v>
      </c>
      <c r="F135" t="s">
        <v>16</v>
      </c>
      <c r="G135" t="s">
        <v>187</v>
      </c>
      <c r="H135">
        <v>600</v>
      </c>
      <c r="J135" t="s">
        <v>149</v>
      </c>
      <c r="K135" s="9">
        <v>900</v>
      </c>
      <c r="L135" t="s">
        <v>270</v>
      </c>
      <c r="M135" t="s">
        <v>18</v>
      </c>
      <c r="N135" t="s">
        <v>44</v>
      </c>
    </row>
    <row r="136" spans="1:14" x14ac:dyDescent="0.3">
      <c r="A136" t="s">
        <v>266</v>
      </c>
      <c r="B136" t="s">
        <v>183</v>
      </c>
      <c r="C136" t="s">
        <v>184</v>
      </c>
      <c r="D136" t="s">
        <v>203</v>
      </c>
      <c r="F136" t="s">
        <v>16</v>
      </c>
      <c r="G136" t="s">
        <v>204</v>
      </c>
      <c r="H136">
        <v>290</v>
      </c>
      <c r="J136" t="s">
        <v>28</v>
      </c>
      <c r="K136" s="9">
        <v>435</v>
      </c>
      <c r="L136" t="s">
        <v>270</v>
      </c>
      <c r="M136" t="s">
        <v>18</v>
      </c>
      <c r="N136" t="s">
        <v>44</v>
      </c>
    </row>
    <row r="137" spans="1:14" x14ac:dyDescent="0.3">
      <c r="A137" t="s">
        <v>266</v>
      </c>
      <c r="B137" t="s">
        <v>183</v>
      </c>
      <c r="C137" t="s">
        <v>184</v>
      </c>
      <c r="D137" t="s">
        <v>205</v>
      </c>
      <c r="F137" t="s">
        <v>16</v>
      </c>
      <c r="G137" t="s">
        <v>206</v>
      </c>
      <c r="H137">
        <v>340</v>
      </c>
      <c r="J137" t="s">
        <v>28</v>
      </c>
      <c r="K137" s="9">
        <v>510</v>
      </c>
      <c r="L137" t="s">
        <v>270</v>
      </c>
      <c r="M137" t="s">
        <v>18</v>
      </c>
      <c r="N137" t="s">
        <v>44</v>
      </c>
    </row>
    <row r="138" spans="1:14" x14ac:dyDescent="0.3">
      <c r="A138" t="s">
        <v>266</v>
      </c>
      <c r="B138" t="s">
        <v>183</v>
      </c>
      <c r="C138" t="s">
        <v>184</v>
      </c>
      <c r="D138" t="s">
        <v>207</v>
      </c>
      <c r="F138" t="s">
        <v>16</v>
      </c>
      <c r="G138" t="s">
        <v>189</v>
      </c>
      <c r="H138">
        <v>155</v>
      </c>
      <c r="J138" t="s">
        <v>190</v>
      </c>
      <c r="K138" s="9">
        <v>233</v>
      </c>
      <c r="L138" t="s">
        <v>270</v>
      </c>
      <c r="M138" t="s">
        <v>18</v>
      </c>
      <c r="N138" t="s">
        <v>44</v>
      </c>
    </row>
    <row r="139" spans="1:14" x14ac:dyDescent="0.3">
      <c r="A139" t="s">
        <v>266</v>
      </c>
      <c r="B139" t="s">
        <v>183</v>
      </c>
      <c r="C139" t="s">
        <v>184</v>
      </c>
      <c r="D139" t="s">
        <v>208</v>
      </c>
      <c r="F139" t="s">
        <v>16</v>
      </c>
      <c r="G139" t="s">
        <v>69</v>
      </c>
      <c r="H139">
        <v>425</v>
      </c>
      <c r="J139" t="s">
        <v>28</v>
      </c>
      <c r="K139" s="9">
        <v>638</v>
      </c>
      <c r="L139" t="s">
        <v>270</v>
      </c>
      <c r="M139" t="s">
        <v>18</v>
      </c>
      <c r="N139" t="s">
        <v>44</v>
      </c>
    </row>
    <row r="140" spans="1:14" x14ac:dyDescent="0.3">
      <c r="A140" t="s">
        <v>266</v>
      </c>
      <c r="B140" t="s">
        <v>183</v>
      </c>
      <c r="C140" t="s">
        <v>184</v>
      </c>
      <c r="D140" t="s">
        <v>209</v>
      </c>
      <c r="F140" t="s">
        <v>16</v>
      </c>
      <c r="G140" t="s">
        <v>28</v>
      </c>
      <c r="H140">
        <v>510</v>
      </c>
      <c r="J140" t="s">
        <v>187</v>
      </c>
      <c r="K140" s="9">
        <v>765</v>
      </c>
      <c r="L140" t="s">
        <v>270</v>
      </c>
      <c r="M140" t="s">
        <v>18</v>
      </c>
      <c r="N140" t="s">
        <v>44</v>
      </c>
    </row>
    <row r="141" spans="1:14" x14ac:dyDescent="0.3">
      <c r="A141" t="s">
        <v>266</v>
      </c>
      <c r="B141" t="s">
        <v>183</v>
      </c>
      <c r="C141" t="s">
        <v>184</v>
      </c>
      <c r="D141" t="s">
        <v>210</v>
      </c>
      <c r="F141" t="s">
        <v>16</v>
      </c>
      <c r="G141" t="s">
        <v>69</v>
      </c>
      <c r="H141">
        <v>385</v>
      </c>
      <c r="J141" t="s">
        <v>28</v>
      </c>
      <c r="K141" s="9">
        <v>578</v>
      </c>
      <c r="L141" t="s">
        <v>270</v>
      </c>
      <c r="M141" t="s">
        <v>18</v>
      </c>
      <c r="N141" t="s">
        <v>44</v>
      </c>
    </row>
    <row r="142" spans="1:14" x14ac:dyDescent="0.3">
      <c r="A142" t="s">
        <v>266</v>
      </c>
      <c r="B142" t="s">
        <v>183</v>
      </c>
      <c r="C142" t="s">
        <v>184</v>
      </c>
      <c r="D142" t="s">
        <v>211</v>
      </c>
      <c r="F142" t="s">
        <v>16</v>
      </c>
      <c r="G142" t="s">
        <v>28</v>
      </c>
      <c r="H142">
        <v>405</v>
      </c>
      <c r="J142" t="s">
        <v>187</v>
      </c>
      <c r="K142" s="9">
        <v>608</v>
      </c>
      <c r="L142" t="s">
        <v>270</v>
      </c>
      <c r="M142" t="s">
        <v>18</v>
      </c>
      <c r="N142" t="s">
        <v>44</v>
      </c>
    </row>
    <row r="143" spans="1:14" x14ac:dyDescent="0.3">
      <c r="A143" t="s">
        <v>266</v>
      </c>
      <c r="B143" t="s">
        <v>183</v>
      </c>
      <c r="C143" t="s">
        <v>184</v>
      </c>
      <c r="D143" t="s">
        <v>212</v>
      </c>
      <c r="F143" t="s">
        <v>16</v>
      </c>
      <c r="G143" t="s">
        <v>69</v>
      </c>
      <c r="H143">
        <v>335</v>
      </c>
      <c r="J143" t="s">
        <v>28</v>
      </c>
      <c r="K143" s="9">
        <v>503</v>
      </c>
      <c r="L143" t="s">
        <v>270</v>
      </c>
      <c r="M143" t="s">
        <v>18</v>
      </c>
      <c r="N143" t="s">
        <v>44</v>
      </c>
    </row>
    <row r="144" spans="1:14" x14ac:dyDescent="0.3">
      <c r="A144" t="s">
        <v>266</v>
      </c>
      <c r="B144" t="s">
        <v>183</v>
      </c>
      <c r="C144" t="s">
        <v>184</v>
      </c>
      <c r="D144" t="s">
        <v>213</v>
      </c>
      <c r="F144" t="s">
        <v>16</v>
      </c>
      <c r="G144" t="s">
        <v>28</v>
      </c>
      <c r="H144">
        <v>445</v>
      </c>
      <c r="J144" t="s">
        <v>104</v>
      </c>
      <c r="K144" s="9">
        <v>668</v>
      </c>
      <c r="L144" t="s">
        <v>270</v>
      </c>
      <c r="M144" t="s">
        <v>18</v>
      </c>
      <c r="N144" t="s">
        <v>44</v>
      </c>
    </row>
    <row r="145" spans="1:14" x14ac:dyDescent="0.3">
      <c r="A145" t="s">
        <v>266</v>
      </c>
      <c r="B145" t="s">
        <v>183</v>
      </c>
      <c r="C145" t="s">
        <v>184</v>
      </c>
      <c r="D145" t="s">
        <v>214</v>
      </c>
      <c r="F145" t="s">
        <v>16</v>
      </c>
      <c r="G145" t="s">
        <v>200</v>
      </c>
      <c r="H145">
        <v>200</v>
      </c>
      <c r="J145" t="s">
        <v>89</v>
      </c>
      <c r="K145" s="9">
        <v>300</v>
      </c>
      <c r="L145" t="s">
        <v>270</v>
      </c>
      <c r="M145" t="s">
        <v>18</v>
      </c>
      <c r="N145" t="s">
        <v>44</v>
      </c>
    </row>
    <row r="146" spans="1:14" x14ac:dyDescent="0.3">
      <c r="A146" t="s">
        <v>266</v>
      </c>
      <c r="B146" t="s">
        <v>183</v>
      </c>
      <c r="C146" t="s">
        <v>184</v>
      </c>
      <c r="D146" t="s">
        <v>215</v>
      </c>
      <c r="F146" t="s">
        <v>16</v>
      </c>
      <c r="G146" t="s">
        <v>89</v>
      </c>
      <c r="H146">
        <v>270</v>
      </c>
      <c r="J146" t="s">
        <v>69</v>
      </c>
      <c r="K146" s="9">
        <v>405</v>
      </c>
      <c r="L146" t="s">
        <v>270</v>
      </c>
      <c r="M146" t="s">
        <v>18</v>
      </c>
      <c r="N146" t="s">
        <v>44</v>
      </c>
    </row>
    <row r="147" spans="1:14" x14ac:dyDescent="0.3">
      <c r="A147" t="s">
        <v>266</v>
      </c>
      <c r="B147" t="s">
        <v>183</v>
      </c>
      <c r="C147" t="s">
        <v>184</v>
      </c>
      <c r="D147" t="s">
        <v>216</v>
      </c>
      <c r="F147" t="s">
        <v>16</v>
      </c>
      <c r="G147" t="s">
        <v>28</v>
      </c>
      <c r="H147">
        <v>310</v>
      </c>
      <c r="J147" t="s">
        <v>28</v>
      </c>
      <c r="K147" s="9">
        <v>465</v>
      </c>
      <c r="L147" t="s">
        <v>270</v>
      </c>
      <c r="M147" t="s">
        <v>18</v>
      </c>
      <c r="N147" t="s">
        <v>44</v>
      </c>
    </row>
    <row r="148" spans="1:14" x14ac:dyDescent="0.3">
      <c r="A148" t="s">
        <v>266</v>
      </c>
      <c r="B148" t="s">
        <v>183</v>
      </c>
      <c r="C148" t="s">
        <v>184</v>
      </c>
      <c r="D148" t="s">
        <v>217</v>
      </c>
      <c r="F148" t="s">
        <v>16</v>
      </c>
      <c r="G148" t="s">
        <v>190</v>
      </c>
      <c r="H148">
        <v>210</v>
      </c>
      <c r="J148" t="s">
        <v>89</v>
      </c>
      <c r="K148" s="9">
        <v>315</v>
      </c>
      <c r="L148" t="s">
        <v>270</v>
      </c>
      <c r="M148" t="s">
        <v>18</v>
      </c>
      <c r="N148" t="s">
        <v>44</v>
      </c>
    </row>
    <row r="149" spans="1:14" x14ac:dyDescent="0.3">
      <c r="A149" t="s">
        <v>266</v>
      </c>
      <c r="B149" t="s">
        <v>183</v>
      </c>
      <c r="C149" t="s">
        <v>184</v>
      </c>
      <c r="D149" t="s">
        <v>218</v>
      </c>
      <c r="F149" t="s">
        <v>16</v>
      </c>
      <c r="G149" t="s">
        <v>81</v>
      </c>
      <c r="H149">
        <v>2050</v>
      </c>
      <c r="J149" t="s">
        <v>94</v>
      </c>
      <c r="K149" s="9">
        <v>3075</v>
      </c>
      <c r="L149" t="s">
        <v>270</v>
      </c>
      <c r="M149" t="s">
        <v>18</v>
      </c>
      <c r="N149" t="s">
        <v>44</v>
      </c>
    </row>
    <row r="150" spans="1:14" hidden="1" x14ac:dyDescent="0.3">
      <c r="A150" t="s">
        <v>266</v>
      </c>
      <c r="B150" t="s">
        <v>13</v>
      </c>
      <c r="C150" t="s">
        <v>219</v>
      </c>
      <c r="D150" t="s">
        <v>220</v>
      </c>
      <c r="F150" t="s">
        <v>16</v>
      </c>
      <c r="G150" t="s">
        <v>200</v>
      </c>
      <c r="H150">
        <v>250</v>
      </c>
      <c r="L150" t="s">
        <v>272</v>
      </c>
      <c r="M150" t="s">
        <v>18</v>
      </c>
      <c r="N150" t="s">
        <v>273</v>
      </c>
    </row>
    <row r="151" spans="1:14" hidden="1" x14ac:dyDescent="0.3">
      <c r="A151" t="s">
        <v>266</v>
      </c>
      <c r="B151" t="s">
        <v>13</v>
      </c>
      <c r="C151" t="s">
        <v>219</v>
      </c>
      <c r="D151" t="s">
        <v>220</v>
      </c>
      <c r="F151" t="s">
        <v>16</v>
      </c>
      <c r="G151" t="s">
        <v>28</v>
      </c>
      <c r="H151">
        <v>450</v>
      </c>
      <c r="L151" t="s">
        <v>272</v>
      </c>
      <c r="M151" t="s">
        <v>18</v>
      </c>
      <c r="N151" t="s">
        <v>273</v>
      </c>
    </row>
    <row r="152" spans="1:14" hidden="1" x14ac:dyDescent="0.3">
      <c r="A152" t="s">
        <v>266</v>
      </c>
      <c r="B152" t="s">
        <v>13</v>
      </c>
      <c r="C152" t="s">
        <v>219</v>
      </c>
      <c r="D152" t="s">
        <v>221</v>
      </c>
      <c r="F152" t="s">
        <v>16</v>
      </c>
      <c r="G152" t="s">
        <v>200</v>
      </c>
      <c r="H152">
        <v>250</v>
      </c>
      <c r="L152" t="s">
        <v>272</v>
      </c>
      <c r="M152" t="s">
        <v>18</v>
      </c>
      <c r="N152" t="s">
        <v>273</v>
      </c>
    </row>
    <row r="153" spans="1:14" hidden="1" x14ac:dyDescent="0.3">
      <c r="A153" t="s">
        <v>266</v>
      </c>
      <c r="B153" t="s">
        <v>46</v>
      </c>
      <c r="C153" t="s">
        <v>219</v>
      </c>
      <c r="D153" t="s">
        <v>221</v>
      </c>
      <c r="F153" t="s">
        <v>16</v>
      </c>
      <c r="G153" t="s">
        <v>28</v>
      </c>
      <c r="H153">
        <v>450</v>
      </c>
      <c r="L153" t="s">
        <v>272</v>
      </c>
      <c r="M153" t="s">
        <v>18</v>
      </c>
      <c r="N153" t="s">
        <v>273</v>
      </c>
    </row>
    <row r="154" spans="1:14" hidden="1" x14ac:dyDescent="0.3">
      <c r="A154" t="s">
        <v>266</v>
      </c>
      <c r="B154" t="s">
        <v>46</v>
      </c>
      <c r="C154" t="s">
        <v>219</v>
      </c>
      <c r="D154" t="s">
        <v>222</v>
      </c>
      <c r="F154" t="s">
        <v>16</v>
      </c>
      <c r="G154" t="s">
        <v>28</v>
      </c>
      <c r="H154">
        <v>650</v>
      </c>
      <c r="L154" t="s">
        <v>272</v>
      </c>
      <c r="M154" t="s">
        <v>18</v>
      </c>
      <c r="N154" t="s">
        <v>273</v>
      </c>
    </row>
    <row r="155" spans="1:14" hidden="1" x14ac:dyDescent="0.3">
      <c r="A155" t="s">
        <v>266</v>
      </c>
      <c r="B155" t="s">
        <v>46</v>
      </c>
      <c r="C155" t="s">
        <v>219</v>
      </c>
      <c r="D155" t="s">
        <v>223</v>
      </c>
      <c r="F155" t="s">
        <v>16</v>
      </c>
      <c r="G155" t="s">
        <v>28</v>
      </c>
      <c r="H155">
        <v>650</v>
      </c>
      <c r="L155" t="s">
        <v>272</v>
      </c>
      <c r="M155" t="s">
        <v>18</v>
      </c>
      <c r="N155" t="s">
        <v>273</v>
      </c>
    </row>
    <row r="156" spans="1:14" hidden="1" x14ac:dyDescent="0.3">
      <c r="A156" t="s">
        <v>266</v>
      </c>
      <c r="B156" t="s">
        <v>13</v>
      </c>
      <c r="C156" t="s">
        <v>219</v>
      </c>
      <c r="D156" t="s">
        <v>33</v>
      </c>
      <c r="F156" t="s">
        <v>16</v>
      </c>
      <c r="G156" t="s">
        <v>28</v>
      </c>
      <c r="H156">
        <v>650</v>
      </c>
      <c r="L156" t="s">
        <v>272</v>
      </c>
      <c r="M156" t="s">
        <v>18</v>
      </c>
      <c r="N156" t="s">
        <v>273</v>
      </c>
    </row>
    <row r="157" spans="1:14" hidden="1" x14ac:dyDescent="0.3">
      <c r="A157" t="s">
        <v>266</v>
      </c>
      <c r="B157" t="s">
        <v>46</v>
      </c>
      <c r="C157" t="s">
        <v>219</v>
      </c>
      <c r="D157" t="s">
        <v>224</v>
      </c>
      <c r="F157" t="s">
        <v>16</v>
      </c>
      <c r="G157" t="s">
        <v>200</v>
      </c>
      <c r="H157">
        <v>350</v>
      </c>
      <c r="L157" t="s">
        <v>272</v>
      </c>
      <c r="M157" t="s">
        <v>18</v>
      </c>
      <c r="N157" t="s">
        <v>273</v>
      </c>
    </row>
    <row r="158" spans="1:14" hidden="1" x14ac:dyDescent="0.3">
      <c r="A158" t="s">
        <v>266</v>
      </c>
      <c r="B158" t="s">
        <v>13</v>
      </c>
      <c r="C158" t="s">
        <v>219</v>
      </c>
      <c r="D158" t="s">
        <v>225</v>
      </c>
      <c r="F158" t="s">
        <v>16</v>
      </c>
      <c r="G158" t="s">
        <v>28</v>
      </c>
      <c r="H158">
        <v>550</v>
      </c>
      <c r="L158" t="s">
        <v>272</v>
      </c>
      <c r="M158" t="s">
        <v>18</v>
      </c>
      <c r="N158" t="s">
        <v>273</v>
      </c>
    </row>
    <row r="159" spans="1:14" hidden="1" x14ac:dyDescent="0.3">
      <c r="A159" t="s">
        <v>266</v>
      </c>
      <c r="B159" t="s">
        <v>13</v>
      </c>
      <c r="C159" t="s">
        <v>219</v>
      </c>
      <c r="D159" t="s">
        <v>226</v>
      </c>
      <c r="F159" t="s">
        <v>16</v>
      </c>
      <c r="G159" t="s">
        <v>227</v>
      </c>
      <c r="H159">
        <v>250</v>
      </c>
      <c r="L159" t="s">
        <v>272</v>
      </c>
      <c r="M159" t="s">
        <v>18</v>
      </c>
      <c r="N159" t="s">
        <v>273</v>
      </c>
    </row>
    <row r="160" spans="1:14" hidden="1" x14ac:dyDescent="0.3">
      <c r="A160" t="s">
        <v>266</v>
      </c>
      <c r="B160" t="s">
        <v>13</v>
      </c>
      <c r="C160" t="s">
        <v>219</v>
      </c>
      <c r="D160" t="s">
        <v>226</v>
      </c>
      <c r="F160" t="s">
        <v>16</v>
      </c>
      <c r="G160" t="s">
        <v>28</v>
      </c>
      <c r="H160">
        <v>450</v>
      </c>
      <c r="L160" t="s">
        <v>272</v>
      </c>
      <c r="M160" t="s">
        <v>18</v>
      </c>
      <c r="N160" t="s">
        <v>273</v>
      </c>
    </row>
  </sheetData>
  <autoFilter ref="A1:P160" xr:uid="{00000000-0001-0000-0000-000000000000}">
    <filterColumn colId="1">
      <filters>
        <filter val="Depilación"/>
      </filters>
    </filterColumn>
    <filterColumn colId="2">
      <filters>
        <filter val="Complementos"/>
        <filter val="Depilación con cera"/>
        <filter val="Faciales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F8F6-DBC1-40EE-977A-8D35B6F6A639}">
  <dimension ref="A4:G49"/>
  <sheetViews>
    <sheetView topLeftCell="A25" workbookViewId="0">
      <selection activeCell="E38" sqref="E38"/>
    </sheetView>
  </sheetViews>
  <sheetFormatPr baseColWidth="10" defaultRowHeight="14.4" x14ac:dyDescent="0.3"/>
  <cols>
    <col min="1" max="1" width="28.88671875" bestFit="1" customWidth="1"/>
    <col min="2" max="2" width="36.88671875" customWidth="1"/>
  </cols>
  <sheetData>
    <row r="4" spans="1:7" x14ac:dyDescent="0.3">
      <c r="A4" s="2" t="s">
        <v>0</v>
      </c>
      <c r="B4" s="2" t="s">
        <v>283</v>
      </c>
    </row>
    <row r="5" spans="1:7" x14ac:dyDescent="0.3">
      <c r="A5" t="s">
        <v>233</v>
      </c>
      <c r="B5" s="15" t="s">
        <v>274</v>
      </c>
      <c r="D5" t="s">
        <v>282</v>
      </c>
      <c r="E5" s="2" t="s">
        <v>277</v>
      </c>
      <c r="F5" s="2" t="s">
        <v>281</v>
      </c>
    </row>
    <row r="6" spans="1:7" x14ac:dyDescent="0.3">
      <c r="B6" t="s">
        <v>278</v>
      </c>
      <c r="C6" s="12">
        <f>1550+1290</f>
        <v>2840</v>
      </c>
      <c r="D6" s="12">
        <f>1550+466</f>
        <v>2016</v>
      </c>
      <c r="E6" s="2"/>
      <c r="F6" s="2"/>
    </row>
    <row r="7" spans="1:7" x14ac:dyDescent="0.3">
      <c r="B7" t="s">
        <v>275</v>
      </c>
      <c r="C7" s="12">
        <v>590</v>
      </c>
      <c r="D7" s="12">
        <f>+C7</f>
        <v>590</v>
      </c>
      <c r="E7" s="2"/>
      <c r="F7" s="2"/>
    </row>
    <row r="8" spans="1:7" x14ac:dyDescent="0.3">
      <c r="B8" t="s">
        <v>276</v>
      </c>
      <c r="C8" s="12">
        <v>690</v>
      </c>
      <c r="D8" s="12">
        <f>+C8</f>
        <v>690</v>
      </c>
      <c r="E8" s="2"/>
      <c r="F8" s="2"/>
    </row>
    <row r="9" spans="1:7" x14ac:dyDescent="0.3">
      <c r="E9" s="2"/>
      <c r="F9" s="2"/>
    </row>
    <row r="10" spans="1:7" x14ac:dyDescent="0.3">
      <c r="B10" t="s">
        <v>279</v>
      </c>
      <c r="C10">
        <f>SUM(C6:C9)</f>
        <v>4120</v>
      </c>
      <c r="D10">
        <f>SUM(D6:D8)</f>
        <v>3296</v>
      </c>
      <c r="E10" s="11">
        <f>C10-D10</f>
        <v>824</v>
      </c>
      <c r="F10" s="19">
        <f>+E10/C10</f>
        <v>0.2</v>
      </c>
    </row>
    <row r="11" spans="1:7" x14ac:dyDescent="0.3">
      <c r="B11" s="2" t="s">
        <v>280</v>
      </c>
      <c r="C11" s="2">
        <f>+D10</f>
        <v>3296</v>
      </c>
    </row>
    <row r="15" spans="1:7" x14ac:dyDescent="0.3">
      <c r="A15" s="2" t="s">
        <v>0</v>
      </c>
      <c r="B15" s="2" t="s">
        <v>283</v>
      </c>
      <c r="C15" s="22" t="s">
        <v>284</v>
      </c>
      <c r="D15" s="22"/>
      <c r="E15" s="22"/>
      <c r="F15" s="22"/>
    </row>
    <row r="16" spans="1:7" ht="24.6" x14ac:dyDescent="0.3">
      <c r="B16" s="15" t="s">
        <v>285</v>
      </c>
      <c r="C16" t="s">
        <v>286</v>
      </c>
      <c r="D16" s="13" t="s">
        <v>287</v>
      </c>
      <c r="E16" s="20" t="s">
        <v>288</v>
      </c>
      <c r="F16" t="s">
        <v>277</v>
      </c>
      <c r="G16" t="s">
        <v>289</v>
      </c>
    </row>
    <row r="17" spans="1:7" x14ac:dyDescent="0.3">
      <c r="B17" s="2" t="s">
        <v>290</v>
      </c>
      <c r="C17" s="2" t="s">
        <v>17</v>
      </c>
    </row>
    <row r="18" spans="1:7" ht="43.2" x14ac:dyDescent="0.3">
      <c r="B18" s="16" t="s">
        <v>291</v>
      </c>
      <c r="C18" s="16"/>
    </row>
    <row r="19" spans="1:7" x14ac:dyDescent="0.3">
      <c r="B19" t="s">
        <v>297</v>
      </c>
      <c r="D19" s="12">
        <v>1550</v>
      </c>
      <c r="E19" s="12">
        <v>1190</v>
      </c>
    </row>
    <row r="20" spans="1:7" x14ac:dyDescent="0.3">
      <c r="D20" s="12">
        <v>1290</v>
      </c>
      <c r="E20" s="12">
        <v>990</v>
      </c>
    </row>
    <row r="21" spans="1:7" x14ac:dyDescent="0.3">
      <c r="A21" t="s">
        <v>233</v>
      </c>
      <c r="B21" s="2" t="s">
        <v>293</v>
      </c>
      <c r="D21" s="2">
        <f>SUM(D19:D20)</f>
        <v>2840</v>
      </c>
      <c r="E21" s="2">
        <f>SUM(E19:E20)</f>
        <v>2180</v>
      </c>
      <c r="F21" s="17">
        <f>D21-E21</f>
        <v>660</v>
      </c>
      <c r="G21" s="18">
        <f>+F21/D21</f>
        <v>0.23239436619718309</v>
      </c>
    </row>
    <row r="22" spans="1:7" x14ac:dyDescent="0.3">
      <c r="B22" s="2" t="s">
        <v>295</v>
      </c>
      <c r="E22">
        <v>0</v>
      </c>
    </row>
    <row r="23" spans="1:7" x14ac:dyDescent="0.3">
      <c r="B23" s="2" t="s">
        <v>228</v>
      </c>
      <c r="D23" s="23">
        <f>+Zonas!K5</f>
        <v>250</v>
      </c>
    </row>
    <row r="24" spans="1:7" x14ac:dyDescent="0.3">
      <c r="B24" s="2" t="s">
        <v>229</v>
      </c>
      <c r="D24" s="23">
        <f>+Zonas!K6</f>
        <v>350</v>
      </c>
    </row>
    <row r="25" spans="1:7" x14ac:dyDescent="0.3">
      <c r="B25" s="2" t="s">
        <v>230</v>
      </c>
      <c r="D25" s="23">
        <f>Zonas!K7</f>
        <v>400</v>
      </c>
    </row>
    <row r="26" spans="1:7" x14ac:dyDescent="0.3">
      <c r="A26" t="s">
        <v>234</v>
      </c>
      <c r="B26" s="2" t="s">
        <v>296</v>
      </c>
      <c r="C26" s="2"/>
      <c r="D26" s="2">
        <f>E21+D24</f>
        <v>2530</v>
      </c>
      <c r="E26" s="2"/>
    </row>
    <row r="30" spans="1:7" ht="24.6" x14ac:dyDescent="0.3">
      <c r="B30" s="15" t="s">
        <v>285</v>
      </c>
      <c r="C30" t="s">
        <v>286</v>
      </c>
      <c r="E30" s="14" t="s">
        <v>288</v>
      </c>
      <c r="F30" t="s">
        <v>277</v>
      </c>
      <c r="G30" t="s">
        <v>289</v>
      </c>
    </row>
    <row r="31" spans="1:7" x14ac:dyDescent="0.3">
      <c r="B31" s="2" t="s">
        <v>290</v>
      </c>
      <c r="C31" s="2" t="s">
        <v>20</v>
      </c>
      <c r="E31" s="15"/>
    </row>
    <row r="32" spans="1:7" ht="43.2" x14ac:dyDescent="0.3">
      <c r="B32" s="16" t="s">
        <v>291</v>
      </c>
      <c r="C32" s="16"/>
    </row>
    <row r="33" spans="1:7" x14ac:dyDescent="0.3">
      <c r="B33" t="s">
        <v>294</v>
      </c>
      <c r="D33" s="12">
        <v>2000</v>
      </c>
      <c r="E33" s="12">
        <v>1390</v>
      </c>
    </row>
    <row r="34" spans="1:7" x14ac:dyDescent="0.3">
      <c r="B34" t="s">
        <v>292</v>
      </c>
      <c r="D34" s="12">
        <v>1290</v>
      </c>
      <c r="E34" s="12">
        <v>1190</v>
      </c>
    </row>
    <row r="35" spans="1:7" x14ac:dyDescent="0.3">
      <c r="A35" t="s">
        <v>233</v>
      </c>
      <c r="B35" s="2" t="s">
        <v>293</v>
      </c>
      <c r="D35" s="2">
        <f>SUM(D33:D34)</f>
        <v>3290</v>
      </c>
      <c r="E35" s="2">
        <f>SUM(E33:E34)</f>
        <v>2580</v>
      </c>
      <c r="F35" s="17">
        <f>D35-E35</f>
        <v>710</v>
      </c>
      <c r="G35" s="18">
        <f>+F35/D35</f>
        <v>0.21580547112462006</v>
      </c>
    </row>
    <row r="36" spans="1:7" x14ac:dyDescent="0.3">
      <c r="B36" s="2" t="s">
        <v>295</v>
      </c>
      <c r="E36">
        <v>0</v>
      </c>
    </row>
    <row r="37" spans="1:7" x14ac:dyDescent="0.3">
      <c r="B37" s="2" t="s">
        <v>228</v>
      </c>
      <c r="D37" s="23">
        <f>+Zonas!K5</f>
        <v>250</v>
      </c>
    </row>
    <row r="38" spans="1:7" x14ac:dyDescent="0.3">
      <c r="B38" s="2" t="s">
        <v>229</v>
      </c>
      <c r="D38" s="23">
        <f>+Zonas!K6</f>
        <v>350</v>
      </c>
    </row>
    <row r="39" spans="1:7" x14ac:dyDescent="0.3">
      <c r="B39" s="2" t="s">
        <v>230</v>
      </c>
      <c r="D39" s="23">
        <f>+Zonas!K7</f>
        <v>400</v>
      </c>
    </row>
    <row r="40" spans="1:7" x14ac:dyDescent="0.3">
      <c r="A40" t="s">
        <v>234</v>
      </c>
      <c r="B40" s="2" t="s">
        <v>298</v>
      </c>
      <c r="D40" s="2">
        <f>+E35+D37</f>
        <v>2830</v>
      </c>
      <c r="E40" s="2"/>
    </row>
    <row r="44" spans="1:7" x14ac:dyDescent="0.3">
      <c r="B44" s="15" t="s">
        <v>299</v>
      </c>
      <c r="C44" t="s">
        <v>286</v>
      </c>
    </row>
    <row r="45" spans="1:7" x14ac:dyDescent="0.3">
      <c r="B45" s="2" t="s">
        <v>300</v>
      </c>
      <c r="C45" s="2" t="s">
        <v>301</v>
      </c>
      <c r="D45" s="12">
        <v>1550</v>
      </c>
      <c r="E45" s="12">
        <v>1235</v>
      </c>
    </row>
    <row r="46" spans="1:7" x14ac:dyDescent="0.3">
      <c r="D46" s="12">
        <v>350</v>
      </c>
      <c r="E46" s="12">
        <v>350</v>
      </c>
    </row>
    <row r="47" spans="1:7" x14ac:dyDescent="0.3">
      <c r="D47" s="12">
        <v>200</v>
      </c>
      <c r="E47" s="12">
        <v>200</v>
      </c>
    </row>
    <row r="48" spans="1:7" x14ac:dyDescent="0.3">
      <c r="D48">
        <f>SUM(D45:D47)</f>
        <v>2100</v>
      </c>
      <c r="E48">
        <f>SUM(E45:E47)</f>
        <v>1785</v>
      </c>
      <c r="F48" s="17">
        <f>D48-E48</f>
        <v>315</v>
      </c>
      <c r="G48" s="21">
        <f>+F48/D48</f>
        <v>0.15</v>
      </c>
    </row>
    <row r="49" spans="1:4" x14ac:dyDescent="0.3">
      <c r="A49" t="s">
        <v>233</v>
      </c>
      <c r="B49" s="2" t="s">
        <v>302</v>
      </c>
      <c r="D49" s="2">
        <f>+E48</f>
        <v>1785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D6B2-613B-48FA-BCAA-75B09047A6C3}">
  <dimension ref="J4:L7"/>
  <sheetViews>
    <sheetView workbookViewId="0">
      <selection activeCell="J18" sqref="J18"/>
    </sheetView>
  </sheetViews>
  <sheetFormatPr baseColWidth="10" defaultRowHeight="14.4" x14ac:dyDescent="0.3"/>
  <cols>
    <col min="10" max="10" width="23.5546875" bestFit="1" customWidth="1"/>
    <col min="11" max="11" width="43.5546875" bestFit="1" customWidth="1"/>
  </cols>
  <sheetData>
    <row r="4" spans="10:12" x14ac:dyDescent="0.3">
      <c r="K4" s="2" t="s">
        <v>306</v>
      </c>
    </row>
    <row r="5" spans="10:12" x14ac:dyDescent="0.3">
      <c r="J5" t="s">
        <v>303</v>
      </c>
      <c r="K5" s="10">
        <v>250</v>
      </c>
      <c r="L5" t="s">
        <v>307</v>
      </c>
    </row>
    <row r="6" spans="10:12" x14ac:dyDescent="0.3">
      <c r="J6" t="s">
        <v>304</v>
      </c>
      <c r="K6" s="10">
        <v>350</v>
      </c>
      <c r="L6" t="s">
        <v>308</v>
      </c>
    </row>
    <row r="7" spans="10:12" x14ac:dyDescent="0.3">
      <c r="J7" t="s">
        <v>305</v>
      </c>
      <c r="K7" s="10">
        <v>400</v>
      </c>
      <c r="L7" t="s">
        <v>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reserva-Regla oper propuesta</vt:lpstr>
      <vt:lpstr>consideraciones en agenda </vt:lpstr>
      <vt:lpstr>catalogo de productos</vt:lpstr>
      <vt:lpstr>Promociones</vt:lpstr>
      <vt:lpstr>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Yazmin Agis Garcia</cp:lastModifiedBy>
  <dcterms:created xsi:type="dcterms:W3CDTF">2026-06-05T01:05:00Z</dcterms:created>
  <dcterms:modified xsi:type="dcterms:W3CDTF">2026-06-05T20:39:14Z</dcterms:modified>
</cp:coreProperties>
</file>